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an" sheetId="2" state="visible" r:id="rId2"/>
    <sheet xmlns:r="http://schemas.openxmlformats.org/officeDocument/2006/relationships" name="DebtSizing" sheetId="3" state="visible" r:id="rId3"/>
    <sheet xmlns:r="http://schemas.openxmlformats.org/officeDocument/2006/relationships" name="LoadedCap" sheetId="4" state="visible" r:id="rId4"/>
    <sheet xmlns:r="http://schemas.openxmlformats.org/officeDocument/2006/relationships" name="HotelRevenue" sheetId="5" state="visible" r:id="rId5"/>
    <sheet xmlns:r="http://schemas.openxmlformats.org/officeDocument/2006/relationships" name="Bond" sheetId="6" state="visible" r:id="rId6"/>
    <sheet xmlns:r="http://schemas.openxmlformats.org/officeDocument/2006/relationships" name="Ch01_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color rgb="000000CC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</cols>
  <sheetData>
    <row r="1">
      <c r="A1" s="1" t="inlineStr">
        <is>
          <t>The Speculator's Desk — Core Models</t>
        </is>
      </c>
    </row>
    <row r="3">
      <c r="A3" t="inlineStr">
        <is>
          <t>Blue cells are inputs; black cells are formulas. Change inputs only.</t>
        </is>
      </c>
    </row>
    <row r="4">
      <c r="A4" t="inlineStr">
        <is>
          <t>Rates are entered as decimals (0.065 = 6.5%). Payments are monthly in arrears unless stated.</t>
        </is>
      </c>
    </row>
    <row r="5">
      <c r="A5" t="inlineStr">
        <is>
          <t>Excel PMT returns a negative value for a positive principal; formulas here pass -principal to show positive payments.</t>
        </is>
      </c>
    </row>
    <row r="6">
      <c r="A6" t="inlineStr">
        <is>
          <t>Excel NPV discounts its first argument; formulas use =CF0+NPV(rate,CF1:CFn).</t>
        </is>
      </c>
    </row>
    <row r="7">
      <c r="A7" t="inlineStr">
        <is>
          <t>Each sheet cites the textbook chapter and the Python function that reproduces it.</t>
        </is>
      </c>
    </row>
    <row r="8">
      <c r="A8" t="inlineStr">
        <is>
          <t>Hypothetical inputs only. Replace with sourced data before any real decision.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</cols>
  <sheetData>
    <row r="1">
      <c r="A1" s="1" t="inlineStr">
        <is>
          <t>Loan amortization — Ch. 10 | sdesk.tvm.amortization_schedule</t>
        </is>
      </c>
    </row>
    <row r="3">
      <c r="A3" t="inlineStr">
        <is>
          <t>Principal ($)</t>
        </is>
      </c>
      <c r="B3" s="2" t="n">
        <v>8400000</v>
      </c>
      <c r="C3" t="inlineStr">
        <is>
          <t>Ch. 1 §1.6 warehouse loan</t>
        </is>
      </c>
    </row>
    <row r="4">
      <c r="A4" t="inlineStr">
        <is>
          <t>Nominal annual rate</t>
        </is>
      </c>
      <c r="B4" s="2" t="n">
        <v>0.065</v>
      </c>
      <c r="C4" t="inlineStr">
        <is>
          <t>monthly rate = rate/12</t>
        </is>
      </c>
    </row>
    <row r="5">
      <c r="A5" t="inlineStr">
        <is>
          <t>Amortization (years)</t>
        </is>
      </c>
      <c r="B5" s="2" t="n">
        <v>30</v>
      </c>
    </row>
    <row r="6">
      <c r="A6" t="inlineStr">
        <is>
          <t>Payments per year</t>
        </is>
      </c>
      <c r="B6" s="2" t="n">
        <v>12</v>
      </c>
    </row>
    <row r="8">
      <c r="A8" t="inlineStr">
        <is>
          <t>Periodic rate</t>
        </is>
      </c>
      <c r="B8">
        <f>B4/B6</f>
        <v/>
      </c>
    </row>
    <row r="9">
      <c r="A9" t="inlineStr">
        <is>
          <t>Number of payments</t>
        </is>
      </c>
      <c r="B9">
        <f>B5*B6</f>
        <v/>
      </c>
    </row>
    <row r="10">
      <c r="A10" t="inlineStr">
        <is>
          <t>Payment</t>
        </is>
      </c>
      <c r="B10">
        <f>PMT(B8,B9,-B3)</f>
        <v/>
      </c>
    </row>
    <row r="11">
      <c r="A11" t="inlineStr">
        <is>
          <t>Annual debt service</t>
        </is>
      </c>
      <c r="B11">
        <f>B10*B6</f>
        <v/>
      </c>
    </row>
    <row r="12">
      <c r="A12" t="inlineStr">
        <is>
          <t>Loan constant</t>
        </is>
      </c>
      <c r="B12">
        <f>B11/B3</f>
        <v/>
      </c>
    </row>
    <row r="13">
      <c r="A13" t="inlineStr">
        <is>
          <t>Balance after 120 payments (closed form)</t>
        </is>
      </c>
      <c r="B13">
        <f>-FV(B8,120,-B10,B3)</f>
        <v/>
      </c>
    </row>
    <row r="14">
      <c r="A14" t="inlineStr">
        <is>
          <t>Balance after 120 payments (schedule)</t>
        </is>
      </c>
      <c r="B14">
        <f>G136</f>
        <v/>
      </c>
    </row>
    <row r="15">
      <c r="A15" t="inlineStr">
        <is>
          <t>Effective annual rate</t>
        </is>
      </c>
      <c r="B15">
        <f>EFFECT(B4,B6)</f>
        <v/>
      </c>
    </row>
    <row r="16">
      <c r="B16" s="3" t="inlineStr">
        <is>
          <t>Period</t>
        </is>
      </c>
      <c r="C16" s="3" t="inlineStr">
        <is>
          <t>Begin</t>
        </is>
      </c>
      <c r="D16" s="3" t="inlineStr">
        <is>
          <t>Payment</t>
        </is>
      </c>
      <c r="E16" s="3" t="inlineStr">
        <is>
          <t>Interest</t>
        </is>
      </c>
      <c r="F16" s="3" t="inlineStr">
        <is>
          <t>Principal</t>
        </is>
      </c>
      <c r="G16" s="3" t="inlineStr">
        <is>
          <t>End</t>
        </is>
      </c>
    </row>
    <row r="17">
      <c r="B17" t="n">
        <v>1</v>
      </c>
      <c r="C17">
        <f>B3</f>
        <v/>
      </c>
      <c r="D17">
        <f>$B$10</f>
        <v/>
      </c>
      <c r="E17">
        <f>C17*$B$8</f>
        <v/>
      </c>
      <c r="F17">
        <f>D17-E17</f>
        <v/>
      </c>
      <c r="G17">
        <f>C17-F17</f>
        <v/>
      </c>
    </row>
    <row r="18">
      <c r="B18" t="n">
        <v>2</v>
      </c>
      <c r="C18">
        <f>G17</f>
        <v/>
      </c>
      <c r="D18">
        <f>$B$10</f>
        <v/>
      </c>
      <c r="E18">
        <f>C18*$B$8</f>
        <v/>
      </c>
      <c r="F18">
        <f>D18-E18</f>
        <v/>
      </c>
      <c r="G18">
        <f>C18-F18</f>
        <v/>
      </c>
    </row>
    <row r="19">
      <c r="B19" t="n">
        <v>3</v>
      </c>
      <c r="C19">
        <f>G18</f>
        <v/>
      </c>
      <c r="D19">
        <f>$B$10</f>
        <v/>
      </c>
      <c r="E19">
        <f>C19*$B$8</f>
        <v/>
      </c>
      <c r="F19">
        <f>D19-E19</f>
        <v/>
      </c>
      <c r="G19">
        <f>C19-F19</f>
        <v/>
      </c>
    </row>
    <row r="20">
      <c r="B20" t="n">
        <v>4</v>
      </c>
      <c r="C20">
        <f>G19</f>
        <v/>
      </c>
      <c r="D20">
        <f>$B$10</f>
        <v/>
      </c>
      <c r="E20">
        <f>C20*$B$8</f>
        <v/>
      </c>
      <c r="F20">
        <f>D20-E20</f>
        <v/>
      </c>
      <c r="G20">
        <f>C20-F20</f>
        <v/>
      </c>
    </row>
    <row r="21">
      <c r="B21" t="n">
        <v>5</v>
      </c>
      <c r="C21">
        <f>G20</f>
        <v/>
      </c>
      <c r="D21">
        <f>$B$10</f>
        <v/>
      </c>
      <c r="E21">
        <f>C21*$B$8</f>
        <v/>
      </c>
      <c r="F21">
        <f>D21-E21</f>
        <v/>
      </c>
      <c r="G21">
        <f>C21-F21</f>
        <v/>
      </c>
    </row>
    <row r="22">
      <c r="B22" t="n">
        <v>6</v>
      </c>
      <c r="C22">
        <f>G21</f>
        <v/>
      </c>
      <c r="D22">
        <f>$B$10</f>
        <v/>
      </c>
      <c r="E22">
        <f>C22*$B$8</f>
        <v/>
      </c>
      <c r="F22">
        <f>D22-E22</f>
        <v/>
      </c>
      <c r="G22">
        <f>C22-F22</f>
        <v/>
      </c>
    </row>
    <row r="23">
      <c r="B23" t="n">
        <v>7</v>
      </c>
      <c r="C23">
        <f>G22</f>
        <v/>
      </c>
      <c r="D23">
        <f>$B$10</f>
        <v/>
      </c>
      <c r="E23">
        <f>C23*$B$8</f>
        <v/>
      </c>
      <c r="F23">
        <f>D23-E23</f>
        <v/>
      </c>
      <c r="G23">
        <f>C23-F23</f>
        <v/>
      </c>
    </row>
    <row r="24">
      <c r="B24" t="n">
        <v>8</v>
      </c>
      <c r="C24">
        <f>G23</f>
        <v/>
      </c>
      <c r="D24">
        <f>$B$10</f>
        <v/>
      </c>
      <c r="E24">
        <f>C24*$B$8</f>
        <v/>
      </c>
      <c r="F24">
        <f>D24-E24</f>
        <v/>
      </c>
      <c r="G24">
        <f>C24-F24</f>
        <v/>
      </c>
    </row>
    <row r="25">
      <c r="B25" t="n">
        <v>9</v>
      </c>
      <c r="C25">
        <f>G24</f>
        <v/>
      </c>
      <c r="D25">
        <f>$B$10</f>
        <v/>
      </c>
      <c r="E25">
        <f>C25*$B$8</f>
        <v/>
      </c>
      <c r="F25">
        <f>D25-E25</f>
        <v/>
      </c>
      <c r="G25">
        <f>C25-F25</f>
        <v/>
      </c>
    </row>
    <row r="26">
      <c r="B26" t="n">
        <v>10</v>
      </c>
      <c r="C26">
        <f>G25</f>
        <v/>
      </c>
      <c r="D26">
        <f>$B$10</f>
        <v/>
      </c>
      <c r="E26">
        <f>C26*$B$8</f>
        <v/>
      </c>
      <c r="F26">
        <f>D26-E26</f>
        <v/>
      </c>
      <c r="G26">
        <f>C26-F26</f>
        <v/>
      </c>
    </row>
    <row r="27">
      <c r="B27" t="n">
        <v>11</v>
      </c>
      <c r="C27">
        <f>G26</f>
        <v/>
      </c>
      <c r="D27">
        <f>$B$10</f>
        <v/>
      </c>
      <c r="E27">
        <f>C27*$B$8</f>
        <v/>
      </c>
      <c r="F27">
        <f>D27-E27</f>
        <v/>
      </c>
      <c r="G27">
        <f>C27-F27</f>
        <v/>
      </c>
    </row>
    <row r="28">
      <c r="B28" t="n">
        <v>12</v>
      </c>
      <c r="C28">
        <f>G27</f>
        <v/>
      </c>
      <c r="D28">
        <f>$B$10</f>
        <v/>
      </c>
      <c r="E28">
        <f>C28*$B$8</f>
        <v/>
      </c>
      <c r="F28">
        <f>D28-E28</f>
        <v/>
      </c>
      <c r="G28">
        <f>C28-F28</f>
        <v/>
      </c>
    </row>
    <row r="29">
      <c r="B29" t="n">
        <v>13</v>
      </c>
      <c r="C29">
        <f>G28</f>
        <v/>
      </c>
      <c r="D29">
        <f>$B$10</f>
        <v/>
      </c>
      <c r="E29">
        <f>C29*$B$8</f>
        <v/>
      </c>
      <c r="F29">
        <f>D29-E29</f>
        <v/>
      </c>
      <c r="G29">
        <f>C29-F29</f>
        <v/>
      </c>
    </row>
    <row r="30">
      <c r="B30" t="n">
        <v>14</v>
      </c>
      <c r="C30">
        <f>G29</f>
        <v/>
      </c>
      <c r="D30">
        <f>$B$10</f>
        <v/>
      </c>
      <c r="E30">
        <f>C30*$B$8</f>
        <v/>
      </c>
      <c r="F30">
        <f>D30-E30</f>
        <v/>
      </c>
      <c r="G30">
        <f>C30-F30</f>
        <v/>
      </c>
    </row>
    <row r="31">
      <c r="B31" t="n">
        <v>15</v>
      </c>
      <c r="C31">
        <f>G30</f>
        <v/>
      </c>
      <c r="D31">
        <f>$B$10</f>
        <v/>
      </c>
      <c r="E31">
        <f>C31*$B$8</f>
        <v/>
      </c>
      <c r="F31">
        <f>D31-E31</f>
        <v/>
      </c>
      <c r="G31">
        <f>C31-F31</f>
        <v/>
      </c>
    </row>
    <row r="32">
      <c r="B32" t="n">
        <v>16</v>
      </c>
      <c r="C32">
        <f>G31</f>
        <v/>
      </c>
      <c r="D32">
        <f>$B$10</f>
        <v/>
      </c>
      <c r="E32">
        <f>C32*$B$8</f>
        <v/>
      </c>
      <c r="F32">
        <f>D32-E32</f>
        <v/>
      </c>
      <c r="G32">
        <f>C32-F32</f>
        <v/>
      </c>
    </row>
    <row r="33">
      <c r="B33" t="n">
        <v>17</v>
      </c>
      <c r="C33">
        <f>G32</f>
        <v/>
      </c>
      <c r="D33">
        <f>$B$10</f>
        <v/>
      </c>
      <c r="E33">
        <f>C33*$B$8</f>
        <v/>
      </c>
      <c r="F33">
        <f>D33-E33</f>
        <v/>
      </c>
      <c r="G33">
        <f>C33-F33</f>
        <v/>
      </c>
    </row>
    <row r="34">
      <c r="B34" t="n">
        <v>18</v>
      </c>
      <c r="C34">
        <f>G33</f>
        <v/>
      </c>
      <c r="D34">
        <f>$B$10</f>
        <v/>
      </c>
      <c r="E34">
        <f>C34*$B$8</f>
        <v/>
      </c>
      <c r="F34">
        <f>D34-E34</f>
        <v/>
      </c>
      <c r="G34">
        <f>C34-F34</f>
        <v/>
      </c>
    </row>
    <row r="35">
      <c r="B35" t="n">
        <v>19</v>
      </c>
      <c r="C35">
        <f>G34</f>
        <v/>
      </c>
      <c r="D35">
        <f>$B$10</f>
        <v/>
      </c>
      <c r="E35">
        <f>C35*$B$8</f>
        <v/>
      </c>
      <c r="F35">
        <f>D35-E35</f>
        <v/>
      </c>
      <c r="G35">
        <f>C35-F35</f>
        <v/>
      </c>
    </row>
    <row r="36">
      <c r="B36" t="n">
        <v>20</v>
      </c>
      <c r="C36">
        <f>G35</f>
        <v/>
      </c>
      <c r="D36">
        <f>$B$10</f>
        <v/>
      </c>
      <c r="E36">
        <f>C36*$B$8</f>
        <v/>
      </c>
      <c r="F36">
        <f>D36-E36</f>
        <v/>
      </c>
      <c r="G36">
        <f>C36-F36</f>
        <v/>
      </c>
    </row>
    <row r="37">
      <c r="B37" t="n">
        <v>21</v>
      </c>
      <c r="C37">
        <f>G36</f>
        <v/>
      </c>
      <c r="D37">
        <f>$B$10</f>
        <v/>
      </c>
      <c r="E37">
        <f>C37*$B$8</f>
        <v/>
      </c>
      <c r="F37">
        <f>D37-E37</f>
        <v/>
      </c>
      <c r="G37">
        <f>C37-F37</f>
        <v/>
      </c>
    </row>
    <row r="38">
      <c r="B38" t="n">
        <v>22</v>
      </c>
      <c r="C38">
        <f>G37</f>
        <v/>
      </c>
      <c r="D38">
        <f>$B$10</f>
        <v/>
      </c>
      <c r="E38">
        <f>C38*$B$8</f>
        <v/>
      </c>
      <c r="F38">
        <f>D38-E38</f>
        <v/>
      </c>
      <c r="G38">
        <f>C38-F38</f>
        <v/>
      </c>
    </row>
    <row r="39">
      <c r="B39" t="n">
        <v>23</v>
      </c>
      <c r="C39">
        <f>G38</f>
        <v/>
      </c>
      <c r="D39">
        <f>$B$10</f>
        <v/>
      </c>
      <c r="E39">
        <f>C39*$B$8</f>
        <v/>
      </c>
      <c r="F39">
        <f>D39-E39</f>
        <v/>
      </c>
      <c r="G39">
        <f>C39-F39</f>
        <v/>
      </c>
    </row>
    <row r="40">
      <c r="B40" t="n">
        <v>24</v>
      </c>
      <c r="C40">
        <f>G39</f>
        <v/>
      </c>
      <c r="D40">
        <f>$B$10</f>
        <v/>
      </c>
      <c r="E40">
        <f>C40*$B$8</f>
        <v/>
      </c>
      <c r="F40">
        <f>D40-E40</f>
        <v/>
      </c>
      <c r="G40">
        <f>C40-F40</f>
        <v/>
      </c>
    </row>
    <row r="41">
      <c r="B41" t="n">
        <v>25</v>
      </c>
      <c r="C41">
        <f>G40</f>
        <v/>
      </c>
      <c r="D41">
        <f>$B$10</f>
        <v/>
      </c>
      <c r="E41">
        <f>C41*$B$8</f>
        <v/>
      </c>
      <c r="F41">
        <f>D41-E41</f>
        <v/>
      </c>
      <c r="G41">
        <f>C41-F41</f>
        <v/>
      </c>
    </row>
    <row r="42">
      <c r="B42" t="n">
        <v>26</v>
      </c>
      <c r="C42">
        <f>G41</f>
        <v/>
      </c>
      <c r="D42">
        <f>$B$10</f>
        <v/>
      </c>
      <c r="E42">
        <f>C42*$B$8</f>
        <v/>
      </c>
      <c r="F42">
        <f>D42-E42</f>
        <v/>
      </c>
      <c r="G42">
        <f>C42-F42</f>
        <v/>
      </c>
    </row>
    <row r="43">
      <c r="B43" t="n">
        <v>27</v>
      </c>
      <c r="C43">
        <f>G42</f>
        <v/>
      </c>
      <c r="D43">
        <f>$B$10</f>
        <v/>
      </c>
      <c r="E43">
        <f>C43*$B$8</f>
        <v/>
      </c>
      <c r="F43">
        <f>D43-E43</f>
        <v/>
      </c>
      <c r="G43">
        <f>C43-F43</f>
        <v/>
      </c>
    </row>
    <row r="44">
      <c r="B44" t="n">
        <v>28</v>
      </c>
      <c r="C44">
        <f>G43</f>
        <v/>
      </c>
      <c r="D44">
        <f>$B$10</f>
        <v/>
      </c>
      <c r="E44">
        <f>C44*$B$8</f>
        <v/>
      </c>
      <c r="F44">
        <f>D44-E44</f>
        <v/>
      </c>
      <c r="G44">
        <f>C44-F44</f>
        <v/>
      </c>
    </row>
    <row r="45">
      <c r="B45" t="n">
        <v>29</v>
      </c>
      <c r="C45">
        <f>G44</f>
        <v/>
      </c>
      <c r="D45">
        <f>$B$10</f>
        <v/>
      </c>
      <c r="E45">
        <f>C45*$B$8</f>
        <v/>
      </c>
      <c r="F45">
        <f>D45-E45</f>
        <v/>
      </c>
      <c r="G45">
        <f>C45-F45</f>
        <v/>
      </c>
    </row>
    <row r="46">
      <c r="B46" t="n">
        <v>30</v>
      </c>
      <c r="C46">
        <f>G45</f>
        <v/>
      </c>
      <c r="D46">
        <f>$B$10</f>
        <v/>
      </c>
      <c r="E46">
        <f>C46*$B$8</f>
        <v/>
      </c>
      <c r="F46">
        <f>D46-E46</f>
        <v/>
      </c>
      <c r="G46">
        <f>C46-F46</f>
        <v/>
      </c>
    </row>
    <row r="47">
      <c r="B47" t="n">
        <v>31</v>
      </c>
      <c r="C47">
        <f>G46</f>
        <v/>
      </c>
      <c r="D47">
        <f>$B$10</f>
        <v/>
      </c>
      <c r="E47">
        <f>C47*$B$8</f>
        <v/>
      </c>
      <c r="F47">
        <f>D47-E47</f>
        <v/>
      </c>
      <c r="G47">
        <f>C47-F47</f>
        <v/>
      </c>
    </row>
    <row r="48">
      <c r="B48" t="n">
        <v>32</v>
      </c>
      <c r="C48">
        <f>G47</f>
        <v/>
      </c>
      <c r="D48">
        <f>$B$10</f>
        <v/>
      </c>
      <c r="E48">
        <f>C48*$B$8</f>
        <v/>
      </c>
      <c r="F48">
        <f>D48-E48</f>
        <v/>
      </c>
      <c r="G48">
        <f>C48-F48</f>
        <v/>
      </c>
    </row>
    <row r="49">
      <c r="B49" t="n">
        <v>33</v>
      </c>
      <c r="C49">
        <f>G48</f>
        <v/>
      </c>
      <c r="D49">
        <f>$B$10</f>
        <v/>
      </c>
      <c r="E49">
        <f>C49*$B$8</f>
        <v/>
      </c>
      <c r="F49">
        <f>D49-E49</f>
        <v/>
      </c>
      <c r="G49">
        <f>C49-F49</f>
        <v/>
      </c>
    </row>
    <row r="50">
      <c r="B50" t="n">
        <v>34</v>
      </c>
      <c r="C50">
        <f>G49</f>
        <v/>
      </c>
      <c r="D50">
        <f>$B$10</f>
        <v/>
      </c>
      <c r="E50">
        <f>C50*$B$8</f>
        <v/>
      </c>
      <c r="F50">
        <f>D50-E50</f>
        <v/>
      </c>
      <c r="G50">
        <f>C50-F50</f>
        <v/>
      </c>
    </row>
    <row r="51">
      <c r="B51" t="n">
        <v>35</v>
      </c>
      <c r="C51">
        <f>G50</f>
        <v/>
      </c>
      <c r="D51">
        <f>$B$10</f>
        <v/>
      </c>
      <c r="E51">
        <f>C51*$B$8</f>
        <v/>
      </c>
      <c r="F51">
        <f>D51-E51</f>
        <v/>
      </c>
      <c r="G51">
        <f>C51-F51</f>
        <v/>
      </c>
    </row>
    <row r="52">
      <c r="B52" t="n">
        <v>36</v>
      </c>
      <c r="C52">
        <f>G51</f>
        <v/>
      </c>
      <c r="D52">
        <f>$B$10</f>
        <v/>
      </c>
      <c r="E52">
        <f>C52*$B$8</f>
        <v/>
      </c>
      <c r="F52">
        <f>D52-E52</f>
        <v/>
      </c>
      <c r="G52">
        <f>C52-F52</f>
        <v/>
      </c>
    </row>
    <row r="53">
      <c r="B53" t="n">
        <v>37</v>
      </c>
      <c r="C53">
        <f>G52</f>
        <v/>
      </c>
      <c r="D53">
        <f>$B$10</f>
        <v/>
      </c>
      <c r="E53">
        <f>C53*$B$8</f>
        <v/>
      </c>
      <c r="F53">
        <f>D53-E53</f>
        <v/>
      </c>
      <c r="G53">
        <f>C53-F53</f>
        <v/>
      </c>
    </row>
    <row r="54">
      <c r="B54" t="n">
        <v>38</v>
      </c>
      <c r="C54">
        <f>G53</f>
        <v/>
      </c>
      <c r="D54">
        <f>$B$10</f>
        <v/>
      </c>
      <c r="E54">
        <f>C54*$B$8</f>
        <v/>
      </c>
      <c r="F54">
        <f>D54-E54</f>
        <v/>
      </c>
      <c r="G54">
        <f>C54-F54</f>
        <v/>
      </c>
    </row>
    <row r="55">
      <c r="B55" t="n">
        <v>39</v>
      </c>
      <c r="C55">
        <f>G54</f>
        <v/>
      </c>
      <c r="D55">
        <f>$B$10</f>
        <v/>
      </c>
      <c r="E55">
        <f>C55*$B$8</f>
        <v/>
      </c>
      <c r="F55">
        <f>D55-E55</f>
        <v/>
      </c>
      <c r="G55">
        <f>C55-F55</f>
        <v/>
      </c>
    </row>
    <row r="56">
      <c r="B56" t="n">
        <v>40</v>
      </c>
      <c r="C56">
        <f>G55</f>
        <v/>
      </c>
      <c r="D56">
        <f>$B$10</f>
        <v/>
      </c>
      <c r="E56">
        <f>C56*$B$8</f>
        <v/>
      </c>
      <c r="F56">
        <f>D56-E56</f>
        <v/>
      </c>
      <c r="G56">
        <f>C56-F56</f>
        <v/>
      </c>
    </row>
    <row r="57">
      <c r="B57" t="n">
        <v>41</v>
      </c>
      <c r="C57">
        <f>G56</f>
        <v/>
      </c>
      <c r="D57">
        <f>$B$10</f>
        <v/>
      </c>
      <c r="E57">
        <f>C57*$B$8</f>
        <v/>
      </c>
      <c r="F57">
        <f>D57-E57</f>
        <v/>
      </c>
      <c r="G57">
        <f>C57-F57</f>
        <v/>
      </c>
    </row>
    <row r="58">
      <c r="B58" t="n">
        <v>42</v>
      </c>
      <c r="C58">
        <f>G57</f>
        <v/>
      </c>
      <c r="D58">
        <f>$B$10</f>
        <v/>
      </c>
      <c r="E58">
        <f>C58*$B$8</f>
        <v/>
      </c>
      <c r="F58">
        <f>D58-E58</f>
        <v/>
      </c>
      <c r="G58">
        <f>C58-F58</f>
        <v/>
      </c>
    </row>
    <row r="59">
      <c r="B59" t="n">
        <v>43</v>
      </c>
      <c r="C59">
        <f>G58</f>
        <v/>
      </c>
      <c r="D59">
        <f>$B$10</f>
        <v/>
      </c>
      <c r="E59">
        <f>C59*$B$8</f>
        <v/>
      </c>
      <c r="F59">
        <f>D59-E59</f>
        <v/>
      </c>
      <c r="G59">
        <f>C59-F59</f>
        <v/>
      </c>
    </row>
    <row r="60">
      <c r="B60" t="n">
        <v>44</v>
      </c>
      <c r="C60">
        <f>G59</f>
        <v/>
      </c>
      <c r="D60">
        <f>$B$10</f>
        <v/>
      </c>
      <c r="E60">
        <f>C60*$B$8</f>
        <v/>
      </c>
      <c r="F60">
        <f>D60-E60</f>
        <v/>
      </c>
      <c r="G60">
        <f>C60-F60</f>
        <v/>
      </c>
    </row>
    <row r="61">
      <c r="B61" t="n">
        <v>45</v>
      </c>
      <c r="C61">
        <f>G60</f>
        <v/>
      </c>
      <c r="D61">
        <f>$B$10</f>
        <v/>
      </c>
      <c r="E61">
        <f>C61*$B$8</f>
        <v/>
      </c>
      <c r="F61">
        <f>D61-E61</f>
        <v/>
      </c>
      <c r="G61">
        <f>C61-F61</f>
        <v/>
      </c>
    </row>
    <row r="62">
      <c r="B62" t="n">
        <v>46</v>
      </c>
      <c r="C62">
        <f>G61</f>
        <v/>
      </c>
      <c r="D62">
        <f>$B$10</f>
        <v/>
      </c>
      <c r="E62">
        <f>C62*$B$8</f>
        <v/>
      </c>
      <c r="F62">
        <f>D62-E62</f>
        <v/>
      </c>
      <c r="G62">
        <f>C62-F62</f>
        <v/>
      </c>
    </row>
    <row r="63">
      <c r="B63" t="n">
        <v>47</v>
      </c>
      <c r="C63">
        <f>G62</f>
        <v/>
      </c>
      <c r="D63">
        <f>$B$10</f>
        <v/>
      </c>
      <c r="E63">
        <f>C63*$B$8</f>
        <v/>
      </c>
      <c r="F63">
        <f>D63-E63</f>
        <v/>
      </c>
      <c r="G63">
        <f>C63-F63</f>
        <v/>
      </c>
    </row>
    <row r="64">
      <c r="B64" t="n">
        <v>48</v>
      </c>
      <c r="C64">
        <f>G63</f>
        <v/>
      </c>
      <c r="D64">
        <f>$B$10</f>
        <v/>
      </c>
      <c r="E64">
        <f>C64*$B$8</f>
        <v/>
      </c>
      <c r="F64">
        <f>D64-E64</f>
        <v/>
      </c>
      <c r="G64">
        <f>C64-F64</f>
        <v/>
      </c>
    </row>
    <row r="65">
      <c r="B65" t="n">
        <v>49</v>
      </c>
      <c r="C65">
        <f>G64</f>
        <v/>
      </c>
      <c r="D65">
        <f>$B$10</f>
        <v/>
      </c>
      <c r="E65">
        <f>C65*$B$8</f>
        <v/>
      </c>
      <c r="F65">
        <f>D65-E65</f>
        <v/>
      </c>
      <c r="G65">
        <f>C65-F65</f>
        <v/>
      </c>
    </row>
    <row r="66">
      <c r="B66" t="n">
        <v>50</v>
      </c>
      <c r="C66">
        <f>G65</f>
        <v/>
      </c>
      <c r="D66">
        <f>$B$10</f>
        <v/>
      </c>
      <c r="E66">
        <f>C66*$B$8</f>
        <v/>
      </c>
      <c r="F66">
        <f>D66-E66</f>
        <v/>
      </c>
      <c r="G66">
        <f>C66-F66</f>
        <v/>
      </c>
    </row>
    <row r="67">
      <c r="B67" t="n">
        <v>51</v>
      </c>
      <c r="C67">
        <f>G66</f>
        <v/>
      </c>
      <c r="D67">
        <f>$B$10</f>
        <v/>
      </c>
      <c r="E67">
        <f>C67*$B$8</f>
        <v/>
      </c>
      <c r="F67">
        <f>D67-E67</f>
        <v/>
      </c>
      <c r="G67">
        <f>C67-F67</f>
        <v/>
      </c>
    </row>
    <row r="68">
      <c r="B68" t="n">
        <v>52</v>
      </c>
      <c r="C68">
        <f>G67</f>
        <v/>
      </c>
      <c r="D68">
        <f>$B$10</f>
        <v/>
      </c>
      <c r="E68">
        <f>C68*$B$8</f>
        <v/>
      </c>
      <c r="F68">
        <f>D68-E68</f>
        <v/>
      </c>
      <c r="G68">
        <f>C68-F68</f>
        <v/>
      </c>
    </row>
    <row r="69">
      <c r="B69" t="n">
        <v>53</v>
      </c>
      <c r="C69">
        <f>G68</f>
        <v/>
      </c>
      <c r="D69">
        <f>$B$10</f>
        <v/>
      </c>
      <c r="E69">
        <f>C69*$B$8</f>
        <v/>
      </c>
      <c r="F69">
        <f>D69-E69</f>
        <v/>
      </c>
      <c r="G69">
        <f>C69-F69</f>
        <v/>
      </c>
    </row>
    <row r="70">
      <c r="B70" t="n">
        <v>54</v>
      </c>
      <c r="C70">
        <f>G69</f>
        <v/>
      </c>
      <c r="D70">
        <f>$B$10</f>
        <v/>
      </c>
      <c r="E70">
        <f>C70*$B$8</f>
        <v/>
      </c>
      <c r="F70">
        <f>D70-E70</f>
        <v/>
      </c>
      <c r="G70">
        <f>C70-F70</f>
        <v/>
      </c>
    </row>
    <row r="71">
      <c r="B71" t="n">
        <v>55</v>
      </c>
      <c r="C71">
        <f>G70</f>
        <v/>
      </c>
      <c r="D71">
        <f>$B$10</f>
        <v/>
      </c>
      <c r="E71">
        <f>C71*$B$8</f>
        <v/>
      </c>
      <c r="F71">
        <f>D71-E71</f>
        <v/>
      </c>
      <c r="G71">
        <f>C71-F71</f>
        <v/>
      </c>
    </row>
    <row r="72">
      <c r="B72" t="n">
        <v>56</v>
      </c>
      <c r="C72">
        <f>G71</f>
        <v/>
      </c>
      <c r="D72">
        <f>$B$10</f>
        <v/>
      </c>
      <c r="E72">
        <f>C72*$B$8</f>
        <v/>
      </c>
      <c r="F72">
        <f>D72-E72</f>
        <v/>
      </c>
      <c r="G72">
        <f>C72-F72</f>
        <v/>
      </c>
    </row>
    <row r="73">
      <c r="B73" t="n">
        <v>57</v>
      </c>
      <c r="C73">
        <f>G72</f>
        <v/>
      </c>
      <c r="D73">
        <f>$B$10</f>
        <v/>
      </c>
      <c r="E73">
        <f>C73*$B$8</f>
        <v/>
      </c>
      <c r="F73">
        <f>D73-E73</f>
        <v/>
      </c>
      <c r="G73">
        <f>C73-F73</f>
        <v/>
      </c>
    </row>
    <row r="74">
      <c r="B74" t="n">
        <v>58</v>
      </c>
      <c r="C74">
        <f>G73</f>
        <v/>
      </c>
      <c r="D74">
        <f>$B$10</f>
        <v/>
      </c>
      <c r="E74">
        <f>C74*$B$8</f>
        <v/>
      </c>
      <c r="F74">
        <f>D74-E74</f>
        <v/>
      </c>
      <c r="G74">
        <f>C74-F74</f>
        <v/>
      </c>
    </row>
    <row r="75">
      <c r="B75" t="n">
        <v>59</v>
      </c>
      <c r="C75">
        <f>G74</f>
        <v/>
      </c>
      <c r="D75">
        <f>$B$10</f>
        <v/>
      </c>
      <c r="E75">
        <f>C75*$B$8</f>
        <v/>
      </c>
      <c r="F75">
        <f>D75-E75</f>
        <v/>
      </c>
      <c r="G75">
        <f>C75-F75</f>
        <v/>
      </c>
    </row>
    <row r="76">
      <c r="B76" t="n">
        <v>60</v>
      </c>
      <c r="C76">
        <f>G75</f>
        <v/>
      </c>
      <c r="D76">
        <f>$B$10</f>
        <v/>
      </c>
      <c r="E76">
        <f>C76*$B$8</f>
        <v/>
      </c>
      <c r="F76">
        <f>D76-E76</f>
        <v/>
      </c>
      <c r="G76">
        <f>C76-F76</f>
        <v/>
      </c>
    </row>
    <row r="77">
      <c r="B77" t="n">
        <v>61</v>
      </c>
      <c r="C77">
        <f>G76</f>
        <v/>
      </c>
      <c r="D77">
        <f>$B$10</f>
        <v/>
      </c>
      <c r="E77">
        <f>C77*$B$8</f>
        <v/>
      </c>
      <c r="F77">
        <f>D77-E77</f>
        <v/>
      </c>
      <c r="G77">
        <f>C77-F77</f>
        <v/>
      </c>
    </row>
    <row r="78">
      <c r="B78" t="n">
        <v>62</v>
      </c>
      <c r="C78">
        <f>G77</f>
        <v/>
      </c>
      <c r="D78">
        <f>$B$10</f>
        <v/>
      </c>
      <c r="E78">
        <f>C78*$B$8</f>
        <v/>
      </c>
      <c r="F78">
        <f>D78-E78</f>
        <v/>
      </c>
      <c r="G78">
        <f>C78-F78</f>
        <v/>
      </c>
    </row>
    <row r="79">
      <c r="B79" t="n">
        <v>63</v>
      </c>
      <c r="C79">
        <f>G78</f>
        <v/>
      </c>
      <c r="D79">
        <f>$B$10</f>
        <v/>
      </c>
      <c r="E79">
        <f>C79*$B$8</f>
        <v/>
      </c>
      <c r="F79">
        <f>D79-E79</f>
        <v/>
      </c>
      <c r="G79">
        <f>C79-F79</f>
        <v/>
      </c>
    </row>
    <row r="80">
      <c r="B80" t="n">
        <v>64</v>
      </c>
      <c r="C80">
        <f>G79</f>
        <v/>
      </c>
      <c r="D80">
        <f>$B$10</f>
        <v/>
      </c>
      <c r="E80">
        <f>C80*$B$8</f>
        <v/>
      </c>
      <c r="F80">
        <f>D80-E80</f>
        <v/>
      </c>
      <c r="G80">
        <f>C80-F80</f>
        <v/>
      </c>
    </row>
    <row r="81">
      <c r="B81" t="n">
        <v>65</v>
      </c>
      <c r="C81">
        <f>G80</f>
        <v/>
      </c>
      <c r="D81">
        <f>$B$10</f>
        <v/>
      </c>
      <c r="E81">
        <f>C81*$B$8</f>
        <v/>
      </c>
      <c r="F81">
        <f>D81-E81</f>
        <v/>
      </c>
      <c r="G81">
        <f>C81-F81</f>
        <v/>
      </c>
    </row>
    <row r="82">
      <c r="B82" t="n">
        <v>66</v>
      </c>
      <c r="C82">
        <f>G81</f>
        <v/>
      </c>
      <c r="D82">
        <f>$B$10</f>
        <v/>
      </c>
      <c r="E82">
        <f>C82*$B$8</f>
        <v/>
      </c>
      <c r="F82">
        <f>D82-E82</f>
        <v/>
      </c>
      <c r="G82">
        <f>C82-F82</f>
        <v/>
      </c>
    </row>
    <row r="83">
      <c r="B83" t="n">
        <v>67</v>
      </c>
      <c r="C83">
        <f>G82</f>
        <v/>
      </c>
      <c r="D83">
        <f>$B$10</f>
        <v/>
      </c>
      <c r="E83">
        <f>C83*$B$8</f>
        <v/>
      </c>
      <c r="F83">
        <f>D83-E83</f>
        <v/>
      </c>
      <c r="G83">
        <f>C83-F83</f>
        <v/>
      </c>
    </row>
    <row r="84">
      <c r="B84" t="n">
        <v>68</v>
      </c>
      <c r="C84">
        <f>G83</f>
        <v/>
      </c>
      <c r="D84">
        <f>$B$10</f>
        <v/>
      </c>
      <c r="E84">
        <f>C84*$B$8</f>
        <v/>
      </c>
      <c r="F84">
        <f>D84-E84</f>
        <v/>
      </c>
      <c r="G84">
        <f>C84-F84</f>
        <v/>
      </c>
    </row>
    <row r="85">
      <c r="B85" t="n">
        <v>69</v>
      </c>
      <c r="C85">
        <f>G84</f>
        <v/>
      </c>
      <c r="D85">
        <f>$B$10</f>
        <v/>
      </c>
      <c r="E85">
        <f>C85*$B$8</f>
        <v/>
      </c>
      <c r="F85">
        <f>D85-E85</f>
        <v/>
      </c>
      <c r="G85">
        <f>C85-F85</f>
        <v/>
      </c>
    </row>
    <row r="86">
      <c r="B86" t="n">
        <v>70</v>
      </c>
      <c r="C86">
        <f>G85</f>
        <v/>
      </c>
      <c r="D86">
        <f>$B$10</f>
        <v/>
      </c>
      <c r="E86">
        <f>C86*$B$8</f>
        <v/>
      </c>
      <c r="F86">
        <f>D86-E86</f>
        <v/>
      </c>
      <c r="G86">
        <f>C86-F86</f>
        <v/>
      </c>
    </row>
    <row r="87">
      <c r="B87" t="n">
        <v>71</v>
      </c>
      <c r="C87">
        <f>G86</f>
        <v/>
      </c>
      <c r="D87">
        <f>$B$10</f>
        <v/>
      </c>
      <c r="E87">
        <f>C87*$B$8</f>
        <v/>
      </c>
      <c r="F87">
        <f>D87-E87</f>
        <v/>
      </c>
      <c r="G87">
        <f>C87-F87</f>
        <v/>
      </c>
    </row>
    <row r="88">
      <c r="B88" t="n">
        <v>72</v>
      </c>
      <c r="C88">
        <f>G87</f>
        <v/>
      </c>
      <c r="D88">
        <f>$B$10</f>
        <v/>
      </c>
      <c r="E88">
        <f>C88*$B$8</f>
        <v/>
      </c>
      <c r="F88">
        <f>D88-E88</f>
        <v/>
      </c>
      <c r="G88">
        <f>C88-F88</f>
        <v/>
      </c>
    </row>
    <row r="89">
      <c r="B89" t="n">
        <v>73</v>
      </c>
      <c r="C89">
        <f>G88</f>
        <v/>
      </c>
      <c r="D89">
        <f>$B$10</f>
        <v/>
      </c>
      <c r="E89">
        <f>C89*$B$8</f>
        <v/>
      </c>
      <c r="F89">
        <f>D89-E89</f>
        <v/>
      </c>
      <c r="G89">
        <f>C89-F89</f>
        <v/>
      </c>
    </row>
    <row r="90">
      <c r="B90" t="n">
        <v>74</v>
      </c>
      <c r="C90">
        <f>G89</f>
        <v/>
      </c>
      <c r="D90">
        <f>$B$10</f>
        <v/>
      </c>
      <c r="E90">
        <f>C90*$B$8</f>
        <v/>
      </c>
      <c r="F90">
        <f>D90-E90</f>
        <v/>
      </c>
      <c r="G90">
        <f>C90-F90</f>
        <v/>
      </c>
    </row>
    <row r="91">
      <c r="B91" t="n">
        <v>75</v>
      </c>
      <c r="C91">
        <f>G90</f>
        <v/>
      </c>
      <c r="D91">
        <f>$B$10</f>
        <v/>
      </c>
      <c r="E91">
        <f>C91*$B$8</f>
        <v/>
      </c>
      <c r="F91">
        <f>D91-E91</f>
        <v/>
      </c>
      <c r="G91">
        <f>C91-F91</f>
        <v/>
      </c>
    </row>
    <row r="92">
      <c r="B92" t="n">
        <v>76</v>
      </c>
      <c r="C92">
        <f>G91</f>
        <v/>
      </c>
      <c r="D92">
        <f>$B$10</f>
        <v/>
      </c>
      <c r="E92">
        <f>C92*$B$8</f>
        <v/>
      </c>
      <c r="F92">
        <f>D92-E92</f>
        <v/>
      </c>
      <c r="G92">
        <f>C92-F92</f>
        <v/>
      </c>
    </row>
    <row r="93">
      <c r="B93" t="n">
        <v>77</v>
      </c>
      <c r="C93">
        <f>G92</f>
        <v/>
      </c>
      <c r="D93">
        <f>$B$10</f>
        <v/>
      </c>
      <c r="E93">
        <f>C93*$B$8</f>
        <v/>
      </c>
      <c r="F93">
        <f>D93-E93</f>
        <v/>
      </c>
      <c r="G93">
        <f>C93-F93</f>
        <v/>
      </c>
    </row>
    <row r="94">
      <c r="B94" t="n">
        <v>78</v>
      </c>
      <c r="C94">
        <f>G93</f>
        <v/>
      </c>
      <c r="D94">
        <f>$B$10</f>
        <v/>
      </c>
      <c r="E94">
        <f>C94*$B$8</f>
        <v/>
      </c>
      <c r="F94">
        <f>D94-E94</f>
        <v/>
      </c>
      <c r="G94">
        <f>C94-F94</f>
        <v/>
      </c>
    </row>
    <row r="95">
      <c r="B95" t="n">
        <v>79</v>
      </c>
      <c r="C95">
        <f>G94</f>
        <v/>
      </c>
      <c r="D95">
        <f>$B$10</f>
        <v/>
      </c>
      <c r="E95">
        <f>C95*$B$8</f>
        <v/>
      </c>
      <c r="F95">
        <f>D95-E95</f>
        <v/>
      </c>
      <c r="G95">
        <f>C95-F95</f>
        <v/>
      </c>
    </row>
    <row r="96">
      <c r="B96" t="n">
        <v>80</v>
      </c>
      <c r="C96">
        <f>G95</f>
        <v/>
      </c>
      <c r="D96">
        <f>$B$10</f>
        <v/>
      </c>
      <c r="E96">
        <f>C96*$B$8</f>
        <v/>
      </c>
      <c r="F96">
        <f>D96-E96</f>
        <v/>
      </c>
      <c r="G96">
        <f>C96-F96</f>
        <v/>
      </c>
    </row>
    <row r="97">
      <c r="B97" t="n">
        <v>81</v>
      </c>
      <c r="C97">
        <f>G96</f>
        <v/>
      </c>
      <c r="D97">
        <f>$B$10</f>
        <v/>
      </c>
      <c r="E97">
        <f>C97*$B$8</f>
        <v/>
      </c>
      <c r="F97">
        <f>D97-E97</f>
        <v/>
      </c>
      <c r="G97">
        <f>C97-F97</f>
        <v/>
      </c>
    </row>
    <row r="98">
      <c r="B98" t="n">
        <v>82</v>
      </c>
      <c r="C98">
        <f>G97</f>
        <v/>
      </c>
      <c r="D98">
        <f>$B$10</f>
        <v/>
      </c>
      <c r="E98">
        <f>C98*$B$8</f>
        <v/>
      </c>
      <c r="F98">
        <f>D98-E98</f>
        <v/>
      </c>
      <c r="G98">
        <f>C98-F98</f>
        <v/>
      </c>
    </row>
    <row r="99">
      <c r="B99" t="n">
        <v>83</v>
      </c>
      <c r="C99">
        <f>G98</f>
        <v/>
      </c>
      <c r="D99">
        <f>$B$10</f>
        <v/>
      </c>
      <c r="E99">
        <f>C99*$B$8</f>
        <v/>
      </c>
      <c r="F99">
        <f>D99-E99</f>
        <v/>
      </c>
      <c r="G99">
        <f>C99-F99</f>
        <v/>
      </c>
    </row>
    <row r="100">
      <c r="B100" t="n">
        <v>84</v>
      </c>
      <c r="C100">
        <f>G99</f>
        <v/>
      </c>
      <c r="D100">
        <f>$B$10</f>
        <v/>
      </c>
      <c r="E100">
        <f>C100*$B$8</f>
        <v/>
      </c>
      <c r="F100">
        <f>D100-E100</f>
        <v/>
      </c>
      <c r="G100">
        <f>C100-F100</f>
        <v/>
      </c>
    </row>
    <row r="101">
      <c r="B101" t="n">
        <v>85</v>
      </c>
      <c r="C101">
        <f>G100</f>
        <v/>
      </c>
      <c r="D101">
        <f>$B$10</f>
        <v/>
      </c>
      <c r="E101">
        <f>C101*$B$8</f>
        <v/>
      </c>
      <c r="F101">
        <f>D101-E101</f>
        <v/>
      </c>
      <c r="G101">
        <f>C101-F101</f>
        <v/>
      </c>
    </row>
    <row r="102">
      <c r="B102" t="n">
        <v>86</v>
      </c>
      <c r="C102">
        <f>G101</f>
        <v/>
      </c>
      <c r="D102">
        <f>$B$10</f>
        <v/>
      </c>
      <c r="E102">
        <f>C102*$B$8</f>
        <v/>
      </c>
      <c r="F102">
        <f>D102-E102</f>
        <v/>
      </c>
      <c r="G102">
        <f>C102-F102</f>
        <v/>
      </c>
    </row>
    <row r="103">
      <c r="B103" t="n">
        <v>87</v>
      </c>
      <c r="C103">
        <f>G102</f>
        <v/>
      </c>
      <c r="D103">
        <f>$B$10</f>
        <v/>
      </c>
      <c r="E103">
        <f>C103*$B$8</f>
        <v/>
      </c>
      <c r="F103">
        <f>D103-E103</f>
        <v/>
      </c>
      <c r="G103">
        <f>C103-F103</f>
        <v/>
      </c>
    </row>
    <row r="104">
      <c r="B104" t="n">
        <v>88</v>
      </c>
      <c r="C104">
        <f>G103</f>
        <v/>
      </c>
      <c r="D104">
        <f>$B$10</f>
        <v/>
      </c>
      <c r="E104">
        <f>C104*$B$8</f>
        <v/>
      </c>
      <c r="F104">
        <f>D104-E104</f>
        <v/>
      </c>
      <c r="G104">
        <f>C104-F104</f>
        <v/>
      </c>
    </row>
    <row r="105">
      <c r="B105" t="n">
        <v>89</v>
      </c>
      <c r="C105">
        <f>G104</f>
        <v/>
      </c>
      <c r="D105">
        <f>$B$10</f>
        <v/>
      </c>
      <c r="E105">
        <f>C105*$B$8</f>
        <v/>
      </c>
      <c r="F105">
        <f>D105-E105</f>
        <v/>
      </c>
      <c r="G105">
        <f>C105-F105</f>
        <v/>
      </c>
    </row>
    <row r="106">
      <c r="B106" t="n">
        <v>90</v>
      </c>
      <c r="C106">
        <f>G105</f>
        <v/>
      </c>
      <c r="D106">
        <f>$B$10</f>
        <v/>
      </c>
      <c r="E106">
        <f>C106*$B$8</f>
        <v/>
      </c>
      <c r="F106">
        <f>D106-E106</f>
        <v/>
      </c>
      <c r="G106">
        <f>C106-F106</f>
        <v/>
      </c>
    </row>
    <row r="107">
      <c r="B107" t="n">
        <v>91</v>
      </c>
      <c r="C107">
        <f>G106</f>
        <v/>
      </c>
      <c r="D107">
        <f>$B$10</f>
        <v/>
      </c>
      <c r="E107">
        <f>C107*$B$8</f>
        <v/>
      </c>
      <c r="F107">
        <f>D107-E107</f>
        <v/>
      </c>
      <c r="G107">
        <f>C107-F107</f>
        <v/>
      </c>
    </row>
    <row r="108">
      <c r="B108" t="n">
        <v>92</v>
      </c>
      <c r="C108">
        <f>G107</f>
        <v/>
      </c>
      <c r="D108">
        <f>$B$10</f>
        <v/>
      </c>
      <c r="E108">
        <f>C108*$B$8</f>
        <v/>
      </c>
      <c r="F108">
        <f>D108-E108</f>
        <v/>
      </c>
      <c r="G108">
        <f>C108-F108</f>
        <v/>
      </c>
    </row>
    <row r="109">
      <c r="B109" t="n">
        <v>93</v>
      </c>
      <c r="C109">
        <f>G108</f>
        <v/>
      </c>
      <c r="D109">
        <f>$B$10</f>
        <v/>
      </c>
      <c r="E109">
        <f>C109*$B$8</f>
        <v/>
      </c>
      <c r="F109">
        <f>D109-E109</f>
        <v/>
      </c>
      <c r="G109">
        <f>C109-F109</f>
        <v/>
      </c>
    </row>
    <row r="110">
      <c r="B110" t="n">
        <v>94</v>
      </c>
      <c r="C110">
        <f>G109</f>
        <v/>
      </c>
      <c r="D110">
        <f>$B$10</f>
        <v/>
      </c>
      <c r="E110">
        <f>C110*$B$8</f>
        <v/>
      </c>
      <c r="F110">
        <f>D110-E110</f>
        <v/>
      </c>
      <c r="G110">
        <f>C110-F110</f>
        <v/>
      </c>
    </row>
    <row r="111">
      <c r="B111" t="n">
        <v>95</v>
      </c>
      <c r="C111">
        <f>G110</f>
        <v/>
      </c>
      <c r="D111">
        <f>$B$10</f>
        <v/>
      </c>
      <c r="E111">
        <f>C111*$B$8</f>
        <v/>
      </c>
      <c r="F111">
        <f>D111-E111</f>
        <v/>
      </c>
      <c r="G111">
        <f>C111-F111</f>
        <v/>
      </c>
    </row>
    <row r="112">
      <c r="B112" t="n">
        <v>96</v>
      </c>
      <c r="C112">
        <f>G111</f>
        <v/>
      </c>
      <c r="D112">
        <f>$B$10</f>
        <v/>
      </c>
      <c r="E112">
        <f>C112*$B$8</f>
        <v/>
      </c>
      <c r="F112">
        <f>D112-E112</f>
        <v/>
      </c>
      <c r="G112">
        <f>C112-F112</f>
        <v/>
      </c>
    </row>
    <row r="113">
      <c r="B113" t="n">
        <v>97</v>
      </c>
      <c r="C113">
        <f>G112</f>
        <v/>
      </c>
      <c r="D113">
        <f>$B$10</f>
        <v/>
      </c>
      <c r="E113">
        <f>C113*$B$8</f>
        <v/>
      </c>
      <c r="F113">
        <f>D113-E113</f>
        <v/>
      </c>
      <c r="G113">
        <f>C113-F113</f>
        <v/>
      </c>
    </row>
    <row r="114">
      <c r="B114" t="n">
        <v>98</v>
      </c>
      <c r="C114">
        <f>G113</f>
        <v/>
      </c>
      <c r="D114">
        <f>$B$10</f>
        <v/>
      </c>
      <c r="E114">
        <f>C114*$B$8</f>
        <v/>
      </c>
      <c r="F114">
        <f>D114-E114</f>
        <v/>
      </c>
      <c r="G114">
        <f>C114-F114</f>
        <v/>
      </c>
    </row>
    <row r="115">
      <c r="B115" t="n">
        <v>99</v>
      </c>
      <c r="C115">
        <f>G114</f>
        <v/>
      </c>
      <c r="D115">
        <f>$B$10</f>
        <v/>
      </c>
      <c r="E115">
        <f>C115*$B$8</f>
        <v/>
      </c>
      <c r="F115">
        <f>D115-E115</f>
        <v/>
      </c>
      <c r="G115">
        <f>C115-F115</f>
        <v/>
      </c>
    </row>
    <row r="116">
      <c r="B116" t="n">
        <v>100</v>
      </c>
      <c r="C116">
        <f>G115</f>
        <v/>
      </c>
      <c r="D116">
        <f>$B$10</f>
        <v/>
      </c>
      <c r="E116">
        <f>C116*$B$8</f>
        <v/>
      </c>
      <c r="F116">
        <f>D116-E116</f>
        <v/>
      </c>
      <c r="G116">
        <f>C116-F116</f>
        <v/>
      </c>
    </row>
    <row r="117">
      <c r="B117" t="n">
        <v>101</v>
      </c>
      <c r="C117">
        <f>G116</f>
        <v/>
      </c>
      <c r="D117">
        <f>$B$10</f>
        <v/>
      </c>
      <c r="E117">
        <f>C117*$B$8</f>
        <v/>
      </c>
      <c r="F117">
        <f>D117-E117</f>
        <v/>
      </c>
      <c r="G117">
        <f>C117-F117</f>
        <v/>
      </c>
    </row>
    <row r="118">
      <c r="B118" t="n">
        <v>102</v>
      </c>
      <c r="C118">
        <f>G117</f>
        <v/>
      </c>
      <c r="D118">
        <f>$B$10</f>
        <v/>
      </c>
      <c r="E118">
        <f>C118*$B$8</f>
        <v/>
      </c>
      <c r="F118">
        <f>D118-E118</f>
        <v/>
      </c>
      <c r="G118">
        <f>C118-F118</f>
        <v/>
      </c>
    </row>
    <row r="119">
      <c r="B119" t="n">
        <v>103</v>
      </c>
      <c r="C119">
        <f>G118</f>
        <v/>
      </c>
      <c r="D119">
        <f>$B$10</f>
        <v/>
      </c>
      <c r="E119">
        <f>C119*$B$8</f>
        <v/>
      </c>
      <c r="F119">
        <f>D119-E119</f>
        <v/>
      </c>
      <c r="G119">
        <f>C119-F119</f>
        <v/>
      </c>
    </row>
    <row r="120">
      <c r="B120" t="n">
        <v>104</v>
      </c>
      <c r="C120">
        <f>G119</f>
        <v/>
      </c>
      <c r="D120">
        <f>$B$10</f>
        <v/>
      </c>
      <c r="E120">
        <f>C120*$B$8</f>
        <v/>
      </c>
      <c r="F120">
        <f>D120-E120</f>
        <v/>
      </c>
      <c r="G120">
        <f>C120-F120</f>
        <v/>
      </c>
    </row>
    <row r="121">
      <c r="B121" t="n">
        <v>105</v>
      </c>
      <c r="C121">
        <f>G120</f>
        <v/>
      </c>
      <c r="D121">
        <f>$B$10</f>
        <v/>
      </c>
      <c r="E121">
        <f>C121*$B$8</f>
        <v/>
      </c>
      <c r="F121">
        <f>D121-E121</f>
        <v/>
      </c>
      <c r="G121">
        <f>C121-F121</f>
        <v/>
      </c>
    </row>
    <row r="122">
      <c r="B122" t="n">
        <v>106</v>
      </c>
      <c r="C122">
        <f>G121</f>
        <v/>
      </c>
      <c r="D122">
        <f>$B$10</f>
        <v/>
      </c>
      <c r="E122">
        <f>C122*$B$8</f>
        <v/>
      </c>
      <c r="F122">
        <f>D122-E122</f>
        <v/>
      </c>
      <c r="G122">
        <f>C122-F122</f>
        <v/>
      </c>
    </row>
    <row r="123">
      <c r="B123" t="n">
        <v>107</v>
      </c>
      <c r="C123">
        <f>G122</f>
        <v/>
      </c>
      <c r="D123">
        <f>$B$10</f>
        <v/>
      </c>
      <c r="E123">
        <f>C123*$B$8</f>
        <v/>
      </c>
      <c r="F123">
        <f>D123-E123</f>
        <v/>
      </c>
      <c r="G123">
        <f>C123-F123</f>
        <v/>
      </c>
    </row>
    <row r="124">
      <c r="B124" t="n">
        <v>108</v>
      </c>
      <c r="C124">
        <f>G123</f>
        <v/>
      </c>
      <c r="D124">
        <f>$B$10</f>
        <v/>
      </c>
      <c r="E124">
        <f>C124*$B$8</f>
        <v/>
      </c>
      <c r="F124">
        <f>D124-E124</f>
        <v/>
      </c>
      <c r="G124">
        <f>C124-F124</f>
        <v/>
      </c>
    </row>
    <row r="125">
      <c r="B125" t="n">
        <v>109</v>
      </c>
      <c r="C125">
        <f>G124</f>
        <v/>
      </c>
      <c r="D125">
        <f>$B$10</f>
        <v/>
      </c>
      <c r="E125">
        <f>C125*$B$8</f>
        <v/>
      </c>
      <c r="F125">
        <f>D125-E125</f>
        <v/>
      </c>
      <c r="G125">
        <f>C125-F125</f>
        <v/>
      </c>
    </row>
    <row r="126">
      <c r="B126" t="n">
        <v>110</v>
      </c>
      <c r="C126">
        <f>G125</f>
        <v/>
      </c>
      <c r="D126">
        <f>$B$10</f>
        <v/>
      </c>
      <c r="E126">
        <f>C126*$B$8</f>
        <v/>
      </c>
      <c r="F126">
        <f>D126-E126</f>
        <v/>
      </c>
      <c r="G126">
        <f>C126-F126</f>
        <v/>
      </c>
    </row>
    <row r="127">
      <c r="B127" t="n">
        <v>111</v>
      </c>
      <c r="C127">
        <f>G126</f>
        <v/>
      </c>
      <c r="D127">
        <f>$B$10</f>
        <v/>
      </c>
      <c r="E127">
        <f>C127*$B$8</f>
        <v/>
      </c>
      <c r="F127">
        <f>D127-E127</f>
        <v/>
      </c>
      <c r="G127">
        <f>C127-F127</f>
        <v/>
      </c>
    </row>
    <row r="128">
      <c r="B128" t="n">
        <v>112</v>
      </c>
      <c r="C128">
        <f>G127</f>
        <v/>
      </c>
      <c r="D128">
        <f>$B$10</f>
        <v/>
      </c>
      <c r="E128">
        <f>C128*$B$8</f>
        <v/>
      </c>
      <c r="F128">
        <f>D128-E128</f>
        <v/>
      </c>
      <c r="G128">
        <f>C128-F128</f>
        <v/>
      </c>
    </row>
    <row r="129">
      <c r="B129" t="n">
        <v>113</v>
      </c>
      <c r="C129">
        <f>G128</f>
        <v/>
      </c>
      <c r="D129">
        <f>$B$10</f>
        <v/>
      </c>
      <c r="E129">
        <f>C129*$B$8</f>
        <v/>
      </c>
      <c r="F129">
        <f>D129-E129</f>
        <v/>
      </c>
      <c r="G129">
        <f>C129-F129</f>
        <v/>
      </c>
    </row>
    <row r="130">
      <c r="B130" t="n">
        <v>114</v>
      </c>
      <c r="C130">
        <f>G129</f>
        <v/>
      </c>
      <c r="D130">
        <f>$B$10</f>
        <v/>
      </c>
      <c r="E130">
        <f>C130*$B$8</f>
        <v/>
      </c>
      <c r="F130">
        <f>D130-E130</f>
        <v/>
      </c>
      <c r="G130">
        <f>C130-F130</f>
        <v/>
      </c>
    </row>
    <row r="131">
      <c r="B131" t="n">
        <v>115</v>
      </c>
      <c r="C131">
        <f>G130</f>
        <v/>
      </c>
      <c r="D131">
        <f>$B$10</f>
        <v/>
      </c>
      <c r="E131">
        <f>C131*$B$8</f>
        <v/>
      </c>
      <c r="F131">
        <f>D131-E131</f>
        <v/>
      </c>
      <c r="G131">
        <f>C131-F131</f>
        <v/>
      </c>
    </row>
    <row r="132">
      <c r="B132" t="n">
        <v>116</v>
      </c>
      <c r="C132">
        <f>G131</f>
        <v/>
      </c>
      <c r="D132">
        <f>$B$10</f>
        <v/>
      </c>
      <c r="E132">
        <f>C132*$B$8</f>
        <v/>
      </c>
      <c r="F132">
        <f>D132-E132</f>
        <v/>
      </c>
      <c r="G132">
        <f>C132-F132</f>
        <v/>
      </c>
    </row>
    <row r="133">
      <c r="B133" t="n">
        <v>117</v>
      </c>
      <c r="C133">
        <f>G132</f>
        <v/>
      </c>
      <c r="D133">
        <f>$B$10</f>
        <v/>
      </c>
      <c r="E133">
        <f>C133*$B$8</f>
        <v/>
      </c>
      <c r="F133">
        <f>D133-E133</f>
        <v/>
      </c>
      <c r="G133">
        <f>C133-F133</f>
        <v/>
      </c>
    </row>
    <row r="134">
      <c r="B134" t="n">
        <v>118</v>
      </c>
      <c r="C134">
        <f>G133</f>
        <v/>
      </c>
      <c r="D134">
        <f>$B$10</f>
        <v/>
      </c>
      <c r="E134">
        <f>C134*$B$8</f>
        <v/>
      </c>
      <c r="F134">
        <f>D134-E134</f>
        <v/>
      </c>
      <c r="G134">
        <f>C134-F134</f>
        <v/>
      </c>
    </row>
    <row r="135">
      <c r="B135" t="n">
        <v>119</v>
      </c>
      <c r="C135">
        <f>G134</f>
        <v/>
      </c>
      <c r="D135">
        <f>$B$10</f>
        <v/>
      </c>
      <c r="E135">
        <f>C135*$B$8</f>
        <v/>
      </c>
      <c r="F135">
        <f>D135-E135</f>
        <v/>
      </c>
      <c r="G135">
        <f>C135-F135</f>
        <v/>
      </c>
    </row>
    <row r="136">
      <c r="B136" t="n">
        <v>120</v>
      </c>
      <c r="C136">
        <f>G135</f>
        <v/>
      </c>
      <c r="D136">
        <f>$B$10</f>
        <v/>
      </c>
      <c r="E136">
        <f>C136*$B$8</f>
        <v/>
      </c>
      <c r="F136">
        <f>D136-E136</f>
        <v/>
      </c>
      <c r="G136">
        <f>C136-F136</f>
        <v/>
      </c>
    </row>
    <row r="137">
      <c r="B137" t="n">
        <v>121</v>
      </c>
      <c r="C137">
        <f>G136</f>
        <v/>
      </c>
      <c r="D137">
        <f>$B$10</f>
        <v/>
      </c>
      <c r="E137">
        <f>C137*$B$8</f>
        <v/>
      </c>
      <c r="F137">
        <f>D137-E137</f>
        <v/>
      </c>
      <c r="G137">
        <f>C137-F137</f>
        <v/>
      </c>
    </row>
    <row r="138">
      <c r="B138" t="n">
        <v>122</v>
      </c>
      <c r="C138">
        <f>G137</f>
        <v/>
      </c>
      <c r="D138">
        <f>$B$10</f>
        <v/>
      </c>
      <c r="E138">
        <f>C138*$B$8</f>
        <v/>
      </c>
      <c r="F138">
        <f>D138-E138</f>
        <v/>
      </c>
      <c r="G138">
        <f>C138-F138</f>
        <v/>
      </c>
    </row>
    <row r="139">
      <c r="B139" t="n">
        <v>123</v>
      </c>
      <c r="C139">
        <f>G138</f>
        <v/>
      </c>
      <c r="D139">
        <f>$B$10</f>
        <v/>
      </c>
      <c r="E139">
        <f>C139*$B$8</f>
        <v/>
      </c>
      <c r="F139">
        <f>D139-E139</f>
        <v/>
      </c>
      <c r="G139">
        <f>C139-F139</f>
        <v/>
      </c>
    </row>
    <row r="140">
      <c r="B140" t="n">
        <v>124</v>
      </c>
      <c r="C140">
        <f>G139</f>
        <v/>
      </c>
      <c r="D140">
        <f>$B$10</f>
        <v/>
      </c>
      <c r="E140">
        <f>C140*$B$8</f>
        <v/>
      </c>
      <c r="F140">
        <f>D140-E140</f>
        <v/>
      </c>
      <c r="G140">
        <f>C140-F140</f>
        <v/>
      </c>
    </row>
    <row r="141">
      <c r="B141" t="n">
        <v>125</v>
      </c>
      <c r="C141">
        <f>G140</f>
        <v/>
      </c>
      <c r="D141">
        <f>$B$10</f>
        <v/>
      </c>
      <c r="E141">
        <f>C141*$B$8</f>
        <v/>
      </c>
      <c r="F141">
        <f>D141-E141</f>
        <v/>
      </c>
      <c r="G141">
        <f>C141-F141</f>
        <v/>
      </c>
    </row>
    <row r="142">
      <c r="B142" t="n">
        <v>126</v>
      </c>
      <c r="C142">
        <f>G141</f>
        <v/>
      </c>
      <c r="D142">
        <f>$B$10</f>
        <v/>
      </c>
      <c r="E142">
        <f>C142*$B$8</f>
        <v/>
      </c>
      <c r="F142">
        <f>D142-E142</f>
        <v/>
      </c>
      <c r="G142">
        <f>C142-F142</f>
        <v/>
      </c>
    </row>
    <row r="143">
      <c r="B143" t="n">
        <v>127</v>
      </c>
      <c r="C143">
        <f>G142</f>
        <v/>
      </c>
      <c r="D143">
        <f>$B$10</f>
        <v/>
      </c>
      <c r="E143">
        <f>C143*$B$8</f>
        <v/>
      </c>
      <c r="F143">
        <f>D143-E143</f>
        <v/>
      </c>
      <c r="G143">
        <f>C143-F143</f>
        <v/>
      </c>
    </row>
    <row r="144">
      <c r="B144" t="n">
        <v>128</v>
      </c>
      <c r="C144">
        <f>G143</f>
        <v/>
      </c>
      <c r="D144">
        <f>$B$10</f>
        <v/>
      </c>
      <c r="E144">
        <f>C144*$B$8</f>
        <v/>
      </c>
      <c r="F144">
        <f>D144-E144</f>
        <v/>
      </c>
      <c r="G144">
        <f>C144-F144</f>
        <v/>
      </c>
    </row>
    <row r="145">
      <c r="B145" t="n">
        <v>129</v>
      </c>
      <c r="C145">
        <f>G144</f>
        <v/>
      </c>
      <c r="D145">
        <f>$B$10</f>
        <v/>
      </c>
      <c r="E145">
        <f>C145*$B$8</f>
        <v/>
      </c>
      <c r="F145">
        <f>D145-E145</f>
        <v/>
      </c>
      <c r="G145">
        <f>C145-F145</f>
        <v/>
      </c>
    </row>
    <row r="146">
      <c r="B146" t="n">
        <v>130</v>
      </c>
      <c r="C146">
        <f>G145</f>
        <v/>
      </c>
      <c r="D146">
        <f>$B$10</f>
        <v/>
      </c>
      <c r="E146">
        <f>C146*$B$8</f>
        <v/>
      </c>
      <c r="F146">
        <f>D146-E146</f>
        <v/>
      </c>
      <c r="G146">
        <f>C146-F146</f>
        <v/>
      </c>
    </row>
    <row r="147">
      <c r="B147" t="n">
        <v>131</v>
      </c>
      <c r="C147">
        <f>G146</f>
        <v/>
      </c>
      <c r="D147">
        <f>$B$10</f>
        <v/>
      </c>
      <c r="E147">
        <f>C147*$B$8</f>
        <v/>
      </c>
      <c r="F147">
        <f>D147-E147</f>
        <v/>
      </c>
      <c r="G147">
        <f>C147-F147</f>
        <v/>
      </c>
    </row>
    <row r="148">
      <c r="B148" t="n">
        <v>132</v>
      </c>
      <c r="C148">
        <f>G147</f>
        <v/>
      </c>
      <c r="D148">
        <f>$B$10</f>
        <v/>
      </c>
      <c r="E148">
        <f>C148*$B$8</f>
        <v/>
      </c>
      <c r="F148">
        <f>D148-E148</f>
        <v/>
      </c>
      <c r="G148">
        <f>C148-F148</f>
        <v/>
      </c>
    </row>
    <row r="149">
      <c r="B149" t="n">
        <v>133</v>
      </c>
      <c r="C149">
        <f>G148</f>
        <v/>
      </c>
      <c r="D149">
        <f>$B$10</f>
        <v/>
      </c>
      <c r="E149">
        <f>C149*$B$8</f>
        <v/>
      </c>
      <c r="F149">
        <f>D149-E149</f>
        <v/>
      </c>
      <c r="G149">
        <f>C149-F149</f>
        <v/>
      </c>
    </row>
    <row r="150">
      <c r="B150" t="n">
        <v>134</v>
      </c>
      <c r="C150">
        <f>G149</f>
        <v/>
      </c>
      <c r="D150">
        <f>$B$10</f>
        <v/>
      </c>
      <c r="E150">
        <f>C150*$B$8</f>
        <v/>
      </c>
      <c r="F150">
        <f>D150-E150</f>
        <v/>
      </c>
      <c r="G150">
        <f>C150-F150</f>
        <v/>
      </c>
    </row>
    <row r="151">
      <c r="B151" t="n">
        <v>135</v>
      </c>
      <c r="C151">
        <f>G150</f>
        <v/>
      </c>
      <c r="D151">
        <f>$B$10</f>
        <v/>
      </c>
      <c r="E151">
        <f>C151*$B$8</f>
        <v/>
      </c>
      <c r="F151">
        <f>D151-E151</f>
        <v/>
      </c>
      <c r="G151">
        <f>C151-F151</f>
        <v/>
      </c>
    </row>
    <row r="152">
      <c r="B152" t="n">
        <v>136</v>
      </c>
      <c r="C152">
        <f>G151</f>
        <v/>
      </c>
      <c r="D152">
        <f>$B$10</f>
        <v/>
      </c>
      <c r="E152">
        <f>C152*$B$8</f>
        <v/>
      </c>
      <c r="F152">
        <f>D152-E152</f>
        <v/>
      </c>
      <c r="G152">
        <f>C152-F152</f>
        <v/>
      </c>
    </row>
    <row r="153">
      <c r="B153" t="n">
        <v>137</v>
      </c>
      <c r="C153">
        <f>G152</f>
        <v/>
      </c>
      <c r="D153">
        <f>$B$10</f>
        <v/>
      </c>
      <c r="E153">
        <f>C153*$B$8</f>
        <v/>
      </c>
      <c r="F153">
        <f>D153-E153</f>
        <v/>
      </c>
      <c r="G153">
        <f>C153-F153</f>
        <v/>
      </c>
    </row>
    <row r="154">
      <c r="B154" t="n">
        <v>138</v>
      </c>
      <c r="C154">
        <f>G153</f>
        <v/>
      </c>
      <c r="D154">
        <f>$B$10</f>
        <v/>
      </c>
      <c r="E154">
        <f>C154*$B$8</f>
        <v/>
      </c>
      <c r="F154">
        <f>D154-E154</f>
        <v/>
      </c>
      <c r="G154">
        <f>C154-F154</f>
        <v/>
      </c>
    </row>
    <row r="155">
      <c r="B155" t="n">
        <v>139</v>
      </c>
      <c r="C155">
        <f>G154</f>
        <v/>
      </c>
      <c r="D155">
        <f>$B$10</f>
        <v/>
      </c>
      <c r="E155">
        <f>C155*$B$8</f>
        <v/>
      </c>
      <c r="F155">
        <f>D155-E155</f>
        <v/>
      </c>
      <c r="G155">
        <f>C155-F155</f>
        <v/>
      </c>
    </row>
    <row r="156">
      <c r="B156" t="n">
        <v>140</v>
      </c>
      <c r="C156">
        <f>G155</f>
        <v/>
      </c>
      <c r="D156">
        <f>$B$10</f>
        <v/>
      </c>
      <c r="E156">
        <f>C156*$B$8</f>
        <v/>
      </c>
      <c r="F156">
        <f>D156-E156</f>
        <v/>
      </c>
      <c r="G156">
        <f>C156-F156</f>
        <v/>
      </c>
    </row>
    <row r="157">
      <c r="B157" t="n">
        <v>141</v>
      </c>
      <c r="C157">
        <f>G156</f>
        <v/>
      </c>
      <c r="D157">
        <f>$B$10</f>
        <v/>
      </c>
      <c r="E157">
        <f>C157*$B$8</f>
        <v/>
      </c>
      <c r="F157">
        <f>D157-E157</f>
        <v/>
      </c>
      <c r="G157">
        <f>C157-F157</f>
        <v/>
      </c>
    </row>
    <row r="158">
      <c r="B158" t="n">
        <v>142</v>
      </c>
      <c r="C158">
        <f>G157</f>
        <v/>
      </c>
      <c r="D158">
        <f>$B$10</f>
        <v/>
      </c>
      <c r="E158">
        <f>C158*$B$8</f>
        <v/>
      </c>
      <c r="F158">
        <f>D158-E158</f>
        <v/>
      </c>
      <c r="G158">
        <f>C158-F158</f>
        <v/>
      </c>
    </row>
    <row r="159">
      <c r="B159" t="n">
        <v>143</v>
      </c>
      <c r="C159">
        <f>G158</f>
        <v/>
      </c>
      <c r="D159">
        <f>$B$10</f>
        <v/>
      </c>
      <c r="E159">
        <f>C159*$B$8</f>
        <v/>
      </c>
      <c r="F159">
        <f>D159-E159</f>
        <v/>
      </c>
      <c r="G159">
        <f>C159-F159</f>
        <v/>
      </c>
    </row>
    <row r="160">
      <c r="B160" t="n">
        <v>144</v>
      </c>
      <c r="C160">
        <f>G159</f>
        <v/>
      </c>
      <c r="D160">
        <f>$B$10</f>
        <v/>
      </c>
      <c r="E160">
        <f>C160*$B$8</f>
        <v/>
      </c>
      <c r="F160">
        <f>D160-E160</f>
        <v/>
      </c>
      <c r="G160">
        <f>C160-F160</f>
        <v/>
      </c>
    </row>
    <row r="161">
      <c r="B161" t="n">
        <v>145</v>
      </c>
      <c r="C161">
        <f>G160</f>
        <v/>
      </c>
      <c r="D161">
        <f>$B$10</f>
        <v/>
      </c>
      <c r="E161">
        <f>C161*$B$8</f>
        <v/>
      </c>
      <c r="F161">
        <f>D161-E161</f>
        <v/>
      </c>
      <c r="G161">
        <f>C161-F161</f>
        <v/>
      </c>
    </row>
    <row r="162">
      <c r="B162" t="n">
        <v>146</v>
      </c>
      <c r="C162">
        <f>G161</f>
        <v/>
      </c>
      <c r="D162">
        <f>$B$10</f>
        <v/>
      </c>
      <c r="E162">
        <f>C162*$B$8</f>
        <v/>
      </c>
      <c r="F162">
        <f>D162-E162</f>
        <v/>
      </c>
      <c r="G162">
        <f>C162-F162</f>
        <v/>
      </c>
    </row>
    <row r="163">
      <c r="B163" t="n">
        <v>147</v>
      </c>
      <c r="C163">
        <f>G162</f>
        <v/>
      </c>
      <c r="D163">
        <f>$B$10</f>
        <v/>
      </c>
      <c r="E163">
        <f>C163*$B$8</f>
        <v/>
      </c>
      <c r="F163">
        <f>D163-E163</f>
        <v/>
      </c>
      <c r="G163">
        <f>C163-F163</f>
        <v/>
      </c>
    </row>
    <row r="164">
      <c r="B164" t="n">
        <v>148</v>
      </c>
      <c r="C164">
        <f>G163</f>
        <v/>
      </c>
      <c r="D164">
        <f>$B$10</f>
        <v/>
      </c>
      <c r="E164">
        <f>C164*$B$8</f>
        <v/>
      </c>
      <c r="F164">
        <f>D164-E164</f>
        <v/>
      </c>
      <c r="G164">
        <f>C164-F164</f>
        <v/>
      </c>
    </row>
    <row r="165">
      <c r="B165" t="n">
        <v>149</v>
      </c>
      <c r="C165">
        <f>G164</f>
        <v/>
      </c>
      <c r="D165">
        <f>$B$10</f>
        <v/>
      </c>
      <c r="E165">
        <f>C165*$B$8</f>
        <v/>
      </c>
      <c r="F165">
        <f>D165-E165</f>
        <v/>
      </c>
      <c r="G165">
        <f>C165-F165</f>
        <v/>
      </c>
    </row>
    <row r="166">
      <c r="B166" t="n">
        <v>150</v>
      </c>
      <c r="C166">
        <f>G165</f>
        <v/>
      </c>
      <c r="D166">
        <f>$B$10</f>
        <v/>
      </c>
      <c r="E166">
        <f>C166*$B$8</f>
        <v/>
      </c>
      <c r="F166">
        <f>D166-E166</f>
        <v/>
      </c>
      <c r="G166">
        <f>C166-F166</f>
        <v/>
      </c>
    </row>
    <row r="167">
      <c r="B167" t="n">
        <v>151</v>
      </c>
      <c r="C167">
        <f>G166</f>
        <v/>
      </c>
      <c r="D167">
        <f>$B$10</f>
        <v/>
      </c>
      <c r="E167">
        <f>C167*$B$8</f>
        <v/>
      </c>
      <c r="F167">
        <f>D167-E167</f>
        <v/>
      </c>
      <c r="G167">
        <f>C167-F167</f>
        <v/>
      </c>
    </row>
    <row r="168">
      <c r="B168" t="n">
        <v>152</v>
      </c>
      <c r="C168">
        <f>G167</f>
        <v/>
      </c>
      <c r="D168">
        <f>$B$10</f>
        <v/>
      </c>
      <c r="E168">
        <f>C168*$B$8</f>
        <v/>
      </c>
      <c r="F168">
        <f>D168-E168</f>
        <v/>
      </c>
      <c r="G168">
        <f>C168-F168</f>
        <v/>
      </c>
    </row>
    <row r="169">
      <c r="B169" t="n">
        <v>153</v>
      </c>
      <c r="C169">
        <f>G168</f>
        <v/>
      </c>
      <c r="D169">
        <f>$B$10</f>
        <v/>
      </c>
      <c r="E169">
        <f>C169*$B$8</f>
        <v/>
      </c>
      <c r="F169">
        <f>D169-E169</f>
        <v/>
      </c>
      <c r="G169">
        <f>C169-F169</f>
        <v/>
      </c>
    </row>
    <row r="170">
      <c r="B170" t="n">
        <v>154</v>
      </c>
      <c r="C170">
        <f>G169</f>
        <v/>
      </c>
      <c r="D170">
        <f>$B$10</f>
        <v/>
      </c>
      <c r="E170">
        <f>C170*$B$8</f>
        <v/>
      </c>
      <c r="F170">
        <f>D170-E170</f>
        <v/>
      </c>
      <c r="G170">
        <f>C170-F170</f>
        <v/>
      </c>
    </row>
    <row r="171">
      <c r="B171" t="n">
        <v>155</v>
      </c>
      <c r="C171">
        <f>G170</f>
        <v/>
      </c>
      <c r="D171">
        <f>$B$10</f>
        <v/>
      </c>
      <c r="E171">
        <f>C171*$B$8</f>
        <v/>
      </c>
      <c r="F171">
        <f>D171-E171</f>
        <v/>
      </c>
      <c r="G171">
        <f>C171-F171</f>
        <v/>
      </c>
    </row>
    <row r="172">
      <c r="B172" t="n">
        <v>156</v>
      </c>
      <c r="C172">
        <f>G171</f>
        <v/>
      </c>
      <c r="D172">
        <f>$B$10</f>
        <v/>
      </c>
      <c r="E172">
        <f>C172*$B$8</f>
        <v/>
      </c>
      <c r="F172">
        <f>D172-E172</f>
        <v/>
      </c>
      <c r="G172">
        <f>C172-F172</f>
        <v/>
      </c>
    </row>
    <row r="173">
      <c r="B173" t="n">
        <v>157</v>
      </c>
      <c r="C173">
        <f>G172</f>
        <v/>
      </c>
      <c r="D173">
        <f>$B$10</f>
        <v/>
      </c>
      <c r="E173">
        <f>C173*$B$8</f>
        <v/>
      </c>
      <c r="F173">
        <f>D173-E173</f>
        <v/>
      </c>
      <c r="G173">
        <f>C173-F173</f>
        <v/>
      </c>
    </row>
    <row r="174">
      <c r="B174" t="n">
        <v>158</v>
      </c>
      <c r="C174">
        <f>G173</f>
        <v/>
      </c>
      <c r="D174">
        <f>$B$10</f>
        <v/>
      </c>
      <c r="E174">
        <f>C174*$B$8</f>
        <v/>
      </c>
      <c r="F174">
        <f>D174-E174</f>
        <v/>
      </c>
      <c r="G174">
        <f>C174-F174</f>
        <v/>
      </c>
    </row>
    <row r="175">
      <c r="B175" t="n">
        <v>159</v>
      </c>
      <c r="C175">
        <f>G174</f>
        <v/>
      </c>
      <c r="D175">
        <f>$B$10</f>
        <v/>
      </c>
      <c r="E175">
        <f>C175*$B$8</f>
        <v/>
      </c>
      <c r="F175">
        <f>D175-E175</f>
        <v/>
      </c>
      <c r="G175">
        <f>C175-F175</f>
        <v/>
      </c>
    </row>
    <row r="176">
      <c r="B176" t="n">
        <v>160</v>
      </c>
      <c r="C176">
        <f>G175</f>
        <v/>
      </c>
      <c r="D176">
        <f>$B$10</f>
        <v/>
      </c>
      <c r="E176">
        <f>C176*$B$8</f>
        <v/>
      </c>
      <c r="F176">
        <f>D176-E176</f>
        <v/>
      </c>
      <c r="G176">
        <f>C176-F176</f>
        <v/>
      </c>
    </row>
    <row r="177">
      <c r="B177" t="n">
        <v>161</v>
      </c>
      <c r="C177">
        <f>G176</f>
        <v/>
      </c>
      <c r="D177">
        <f>$B$10</f>
        <v/>
      </c>
      <c r="E177">
        <f>C177*$B$8</f>
        <v/>
      </c>
      <c r="F177">
        <f>D177-E177</f>
        <v/>
      </c>
      <c r="G177">
        <f>C177-F177</f>
        <v/>
      </c>
    </row>
    <row r="178">
      <c r="B178" t="n">
        <v>162</v>
      </c>
      <c r="C178">
        <f>G177</f>
        <v/>
      </c>
      <c r="D178">
        <f>$B$10</f>
        <v/>
      </c>
      <c r="E178">
        <f>C178*$B$8</f>
        <v/>
      </c>
      <c r="F178">
        <f>D178-E178</f>
        <v/>
      </c>
      <c r="G178">
        <f>C178-F178</f>
        <v/>
      </c>
    </row>
    <row r="179">
      <c r="B179" t="n">
        <v>163</v>
      </c>
      <c r="C179">
        <f>G178</f>
        <v/>
      </c>
      <c r="D179">
        <f>$B$10</f>
        <v/>
      </c>
      <c r="E179">
        <f>C179*$B$8</f>
        <v/>
      </c>
      <c r="F179">
        <f>D179-E179</f>
        <v/>
      </c>
      <c r="G179">
        <f>C179-F179</f>
        <v/>
      </c>
    </row>
    <row r="180">
      <c r="B180" t="n">
        <v>164</v>
      </c>
      <c r="C180">
        <f>G179</f>
        <v/>
      </c>
      <c r="D180">
        <f>$B$10</f>
        <v/>
      </c>
      <c r="E180">
        <f>C180*$B$8</f>
        <v/>
      </c>
      <c r="F180">
        <f>D180-E180</f>
        <v/>
      </c>
      <c r="G180">
        <f>C180-F180</f>
        <v/>
      </c>
    </row>
    <row r="181">
      <c r="B181" t="n">
        <v>165</v>
      </c>
      <c r="C181">
        <f>G180</f>
        <v/>
      </c>
      <c r="D181">
        <f>$B$10</f>
        <v/>
      </c>
      <c r="E181">
        <f>C181*$B$8</f>
        <v/>
      </c>
      <c r="F181">
        <f>D181-E181</f>
        <v/>
      </c>
      <c r="G181">
        <f>C181-F181</f>
        <v/>
      </c>
    </row>
    <row r="182">
      <c r="B182" t="n">
        <v>166</v>
      </c>
      <c r="C182">
        <f>G181</f>
        <v/>
      </c>
      <c r="D182">
        <f>$B$10</f>
        <v/>
      </c>
      <c r="E182">
        <f>C182*$B$8</f>
        <v/>
      </c>
      <c r="F182">
        <f>D182-E182</f>
        <v/>
      </c>
      <c r="G182">
        <f>C182-F182</f>
        <v/>
      </c>
    </row>
    <row r="183">
      <c r="B183" t="n">
        <v>167</v>
      </c>
      <c r="C183">
        <f>G182</f>
        <v/>
      </c>
      <c r="D183">
        <f>$B$10</f>
        <v/>
      </c>
      <c r="E183">
        <f>C183*$B$8</f>
        <v/>
      </c>
      <c r="F183">
        <f>D183-E183</f>
        <v/>
      </c>
      <c r="G183">
        <f>C183-F183</f>
        <v/>
      </c>
    </row>
    <row r="184">
      <c r="B184" t="n">
        <v>168</v>
      </c>
      <c r="C184">
        <f>G183</f>
        <v/>
      </c>
      <c r="D184">
        <f>$B$10</f>
        <v/>
      </c>
      <c r="E184">
        <f>C184*$B$8</f>
        <v/>
      </c>
      <c r="F184">
        <f>D184-E184</f>
        <v/>
      </c>
      <c r="G184">
        <f>C184-F184</f>
        <v/>
      </c>
    </row>
    <row r="185">
      <c r="B185" t="n">
        <v>169</v>
      </c>
      <c r="C185">
        <f>G184</f>
        <v/>
      </c>
      <c r="D185">
        <f>$B$10</f>
        <v/>
      </c>
      <c r="E185">
        <f>C185*$B$8</f>
        <v/>
      </c>
      <c r="F185">
        <f>D185-E185</f>
        <v/>
      </c>
      <c r="G185">
        <f>C185-F185</f>
        <v/>
      </c>
    </row>
    <row r="186">
      <c r="B186" t="n">
        <v>170</v>
      </c>
      <c r="C186">
        <f>G185</f>
        <v/>
      </c>
      <c r="D186">
        <f>$B$10</f>
        <v/>
      </c>
      <c r="E186">
        <f>C186*$B$8</f>
        <v/>
      </c>
      <c r="F186">
        <f>D186-E186</f>
        <v/>
      </c>
      <c r="G186">
        <f>C186-F186</f>
        <v/>
      </c>
    </row>
    <row r="187">
      <c r="B187" t="n">
        <v>171</v>
      </c>
      <c r="C187">
        <f>G186</f>
        <v/>
      </c>
      <c r="D187">
        <f>$B$10</f>
        <v/>
      </c>
      <c r="E187">
        <f>C187*$B$8</f>
        <v/>
      </c>
      <c r="F187">
        <f>D187-E187</f>
        <v/>
      </c>
      <c r="G187">
        <f>C187-F187</f>
        <v/>
      </c>
    </row>
    <row r="188">
      <c r="B188" t="n">
        <v>172</v>
      </c>
      <c r="C188">
        <f>G187</f>
        <v/>
      </c>
      <c r="D188">
        <f>$B$10</f>
        <v/>
      </c>
      <c r="E188">
        <f>C188*$B$8</f>
        <v/>
      </c>
      <c r="F188">
        <f>D188-E188</f>
        <v/>
      </c>
      <c r="G188">
        <f>C188-F188</f>
        <v/>
      </c>
    </row>
    <row r="189">
      <c r="B189" t="n">
        <v>173</v>
      </c>
      <c r="C189">
        <f>G188</f>
        <v/>
      </c>
      <c r="D189">
        <f>$B$10</f>
        <v/>
      </c>
      <c r="E189">
        <f>C189*$B$8</f>
        <v/>
      </c>
      <c r="F189">
        <f>D189-E189</f>
        <v/>
      </c>
      <c r="G189">
        <f>C189-F189</f>
        <v/>
      </c>
    </row>
    <row r="190">
      <c r="B190" t="n">
        <v>174</v>
      </c>
      <c r="C190">
        <f>G189</f>
        <v/>
      </c>
      <c r="D190">
        <f>$B$10</f>
        <v/>
      </c>
      <c r="E190">
        <f>C190*$B$8</f>
        <v/>
      </c>
      <c r="F190">
        <f>D190-E190</f>
        <v/>
      </c>
      <c r="G190">
        <f>C190-F190</f>
        <v/>
      </c>
    </row>
    <row r="191">
      <c r="B191" t="n">
        <v>175</v>
      </c>
      <c r="C191">
        <f>G190</f>
        <v/>
      </c>
      <c r="D191">
        <f>$B$10</f>
        <v/>
      </c>
      <c r="E191">
        <f>C191*$B$8</f>
        <v/>
      </c>
      <c r="F191">
        <f>D191-E191</f>
        <v/>
      </c>
      <c r="G191">
        <f>C191-F191</f>
        <v/>
      </c>
    </row>
    <row r="192">
      <c r="B192" t="n">
        <v>176</v>
      </c>
      <c r="C192">
        <f>G191</f>
        <v/>
      </c>
      <c r="D192">
        <f>$B$10</f>
        <v/>
      </c>
      <c r="E192">
        <f>C192*$B$8</f>
        <v/>
      </c>
      <c r="F192">
        <f>D192-E192</f>
        <v/>
      </c>
      <c r="G192">
        <f>C192-F192</f>
        <v/>
      </c>
    </row>
    <row r="193">
      <c r="B193" t="n">
        <v>177</v>
      </c>
      <c r="C193">
        <f>G192</f>
        <v/>
      </c>
      <c r="D193">
        <f>$B$10</f>
        <v/>
      </c>
      <c r="E193">
        <f>C193*$B$8</f>
        <v/>
      </c>
      <c r="F193">
        <f>D193-E193</f>
        <v/>
      </c>
      <c r="G193">
        <f>C193-F193</f>
        <v/>
      </c>
    </row>
    <row r="194">
      <c r="B194" t="n">
        <v>178</v>
      </c>
      <c r="C194">
        <f>G193</f>
        <v/>
      </c>
      <c r="D194">
        <f>$B$10</f>
        <v/>
      </c>
      <c r="E194">
        <f>C194*$B$8</f>
        <v/>
      </c>
      <c r="F194">
        <f>D194-E194</f>
        <v/>
      </c>
      <c r="G194">
        <f>C194-F194</f>
        <v/>
      </c>
    </row>
    <row r="195">
      <c r="B195" t="n">
        <v>179</v>
      </c>
      <c r="C195">
        <f>G194</f>
        <v/>
      </c>
      <c r="D195">
        <f>$B$10</f>
        <v/>
      </c>
      <c r="E195">
        <f>C195*$B$8</f>
        <v/>
      </c>
      <c r="F195">
        <f>D195-E195</f>
        <v/>
      </c>
      <c r="G195">
        <f>C195-F195</f>
        <v/>
      </c>
    </row>
    <row r="196">
      <c r="B196" t="n">
        <v>180</v>
      </c>
      <c r="C196">
        <f>G195</f>
        <v/>
      </c>
      <c r="D196">
        <f>$B$10</f>
        <v/>
      </c>
      <c r="E196">
        <f>C196*$B$8</f>
        <v/>
      </c>
      <c r="F196">
        <f>D196-E196</f>
        <v/>
      </c>
      <c r="G196">
        <f>C196-F196</f>
        <v/>
      </c>
    </row>
    <row r="197">
      <c r="B197" t="n">
        <v>181</v>
      </c>
      <c r="C197">
        <f>G196</f>
        <v/>
      </c>
      <c r="D197">
        <f>$B$10</f>
        <v/>
      </c>
      <c r="E197">
        <f>C197*$B$8</f>
        <v/>
      </c>
      <c r="F197">
        <f>D197-E197</f>
        <v/>
      </c>
      <c r="G197">
        <f>C197-F197</f>
        <v/>
      </c>
    </row>
    <row r="198">
      <c r="B198" t="n">
        <v>182</v>
      </c>
      <c r="C198">
        <f>G197</f>
        <v/>
      </c>
      <c r="D198">
        <f>$B$10</f>
        <v/>
      </c>
      <c r="E198">
        <f>C198*$B$8</f>
        <v/>
      </c>
      <c r="F198">
        <f>D198-E198</f>
        <v/>
      </c>
      <c r="G198">
        <f>C198-F198</f>
        <v/>
      </c>
    </row>
    <row r="199">
      <c r="B199" t="n">
        <v>183</v>
      </c>
      <c r="C199">
        <f>G198</f>
        <v/>
      </c>
      <c r="D199">
        <f>$B$10</f>
        <v/>
      </c>
      <c r="E199">
        <f>C199*$B$8</f>
        <v/>
      </c>
      <c r="F199">
        <f>D199-E199</f>
        <v/>
      </c>
      <c r="G199">
        <f>C199-F199</f>
        <v/>
      </c>
    </row>
    <row r="200">
      <c r="B200" t="n">
        <v>184</v>
      </c>
      <c r="C200">
        <f>G199</f>
        <v/>
      </c>
      <c r="D200">
        <f>$B$10</f>
        <v/>
      </c>
      <c r="E200">
        <f>C200*$B$8</f>
        <v/>
      </c>
      <c r="F200">
        <f>D200-E200</f>
        <v/>
      </c>
      <c r="G200">
        <f>C200-F200</f>
        <v/>
      </c>
    </row>
    <row r="201">
      <c r="B201" t="n">
        <v>185</v>
      </c>
      <c r="C201">
        <f>G200</f>
        <v/>
      </c>
      <c r="D201">
        <f>$B$10</f>
        <v/>
      </c>
      <c r="E201">
        <f>C201*$B$8</f>
        <v/>
      </c>
      <c r="F201">
        <f>D201-E201</f>
        <v/>
      </c>
      <c r="G201">
        <f>C201-F201</f>
        <v/>
      </c>
    </row>
    <row r="202">
      <c r="B202" t="n">
        <v>186</v>
      </c>
      <c r="C202">
        <f>G201</f>
        <v/>
      </c>
      <c r="D202">
        <f>$B$10</f>
        <v/>
      </c>
      <c r="E202">
        <f>C202*$B$8</f>
        <v/>
      </c>
      <c r="F202">
        <f>D202-E202</f>
        <v/>
      </c>
      <c r="G202">
        <f>C202-F202</f>
        <v/>
      </c>
    </row>
    <row r="203">
      <c r="B203" t="n">
        <v>187</v>
      </c>
      <c r="C203">
        <f>G202</f>
        <v/>
      </c>
      <c r="D203">
        <f>$B$10</f>
        <v/>
      </c>
      <c r="E203">
        <f>C203*$B$8</f>
        <v/>
      </c>
      <c r="F203">
        <f>D203-E203</f>
        <v/>
      </c>
      <c r="G203">
        <f>C203-F203</f>
        <v/>
      </c>
    </row>
    <row r="204">
      <c r="B204" t="n">
        <v>188</v>
      </c>
      <c r="C204">
        <f>G203</f>
        <v/>
      </c>
      <c r="D204">
        <f>$B$10</f>
        <v/>
      </c>
      <c r="E204">
        <f>C204*$B$8</f>
        <v/>
      </c>
      <c r="F204">
        <f>D204-E204</f>
        <v/>
      </c>
      <c r="G204">
        <f>C204-F204</f>
        <v/>
      </c>
    </row>
    <row r="205">
      <c r="B205" t="n">
        <v>189</v>
      </c>
      <c r="C205">
        <f>G204</f>
        <v/>
      </c>
      <c r="D205">
        <f>$B$10</f>
        <v/>
      </c>
      <c r="E205">
        <f>C205*$B$8</f>
        <v/>
      </c>
      <c r="F205">
        <f>D205-E205</f>
        <v/>
      </c>
      <c r="G205">
        <f>C205-F205</f>
        <v/>
      </c>
    </row>
    <row r="206">
      <c r="B206" t="n">
        <v>190</v>
      </c>
      <c r="C206">
        <f>G205</f>
        <v/>
      </c>
      <c r="D206">
        <f>$B$10</f>
        <v/>
      </c>
      <c r="E206">
        <f>C206*$B$8</f>
        <v/>
      </c>
      <c r="F206">
        <f>D206-E206</f>
        <v/>
      </c>
      <c r="G206">
        <f>C206-F206</f>
        <v/>
      </c>
    </row>
    <row r="207">
      <c r="B207" t="n">
        <v>191</v>
      </c>
      <c r="C207">
        <f>G206</f>
        <v/>
      </c>
      <c r="D207">
        <f>$B$10</f>
        <v/>
      </c>
      <c r="E207">
        <f>C207*$B$8</f>
        <v/>
      </c>
      <c r="F207">
        <f>D207-E207</f>
        <v/>
      </c>
      <c r="G207">
        <f>C207-F207</f>
        <v/>
      </c>
    </row>
    <row r="208">
      <c r="B208" t="n">
        <v>192</v>
      </c>
      <c r="C208">
        <f>G207</f>
        <v/>
      </c>
      <c r="D208">
        <f>$B$10</f>
        <v/>
      </c>
      <c r="E208">
        <f>C208*$B$8</f>
        <v/>
      </c>
      <c r="F208">
        <f>D208-E208</f>
        <v/>
      </c>
      <c r="G208">
        <f>C208-F208</f>
        <v/>
      </c>
    </row>
    <row r="209">
      <c r="B209" t="n">
        <v>193</v>
      </c>
      <c r="C209">
        <f>G208</f>
        <v/>
      </c>
      <c r="D209">
        <f>$B$10</f>
        <v/>
      </c>
      <c r="E209">
        <f>C209*$B$8</f>
        <v/>
      </c>
      <c r="F209">
        <f>D209-E209</f>
        <v/>
      </c>
      <c r="G209">
        <f>C209-F209</f>
        <v/>
      </c>
    </row>
    <row r="210">
      <c r="B210" t="n">
        <v>194</v>
      </c>
      <c r="C210">
        <f>G209</f>
        <v/>
      </c>
      <c r="D210">
        <f>$B$10</f>
        <v/>
      </c>
      <c r="E210">
        <f>C210*$B$8</f>
        <v/>
      </c>
      <c r="F210">
        <f>D210-E210</f>
        <v/>
      </c>
      <c r="G210">
        <f>C210-F210</f>
        <v/>
      </c>
    </row>
    <row r="211">
      <c r="B211" t="n">
        <v>195</v>
      </c>
      <c r="C211">
        <f>G210</f>
        <v/>
      </c>
      <c r="D211">
        <f>$B$10</f>
        <v/>
      </c>
      <c r="E211">
        <f>C211*$B$8</f>
        <v/>
      </c>
      <c r="F211">
        <f>D211-E211</f>
        <v/>
      </c>
      <c r="G211">
        <f>C211-F211</f>
        <v/>
      </c>
    </row>
    <row r="212">
      <c r="B212" t="n">
        <v>196</v>
      </c>
      <c r="C212">
        <f>G211</f>
        <v/>
      </c>
      <c r="D212">
        <f>$B$10</f>
        <v/>
      </c>
      <c r="E212">
        <f>C212*$B$8</f>
        <v/>
      </c>
      <c r="F212">
        <f>D212-E212</f>
        <v/>
      </c>
      <c r="G212">
        <f>C212-F212</f>
        <v/>
      </c>
    </row>
    <row r="213">
      <c r="B213" t="n">
        <v>197</v>
      </c>
      <c r="C213">
        <f>G212</f>
        <v/>
      </c>
      <c r="D213">
        <f>$B$10</f>
        <v/>
      </c>
      <c r="E213">
        <f>C213*$B$8</f>
        <v/>
      </c>
      <c r="F213">
        <f>D213-E213</f>
        <v/>
      </c>
      <c r="G213">
        <f>C213-F213</f>
        <v/>
      </c>
    </row>
    <row r="214">
      <c r="B214" t="n">
        <v>198</v>
      </c>
      <c r="C214">
        <f>G213</f>
        <v/>
      </c>
      <c r="D214">
        <f>$B$10</f>
        <v/>
      </c>
      <c r="E214">
        <f>C214*$B$8</f>
        <v/>
      </c>
      <c r="F214">
        <f>D214-E214</f>
        <v/>
      </c>
      <c r="G214">
        <f>C214-F214</f>
        <v/>
      </c>
    </row>
    <row r="215">
      <c r="B215" t="n">
        <v>199</v>
      </c>
      <c r="C215">
        <f>G214</f>
        <v/>
      </c>
      <c r="D215">
        <f>$B$10</f>
        <v/>
      </c>
      <c r="E215">
        <f>C215*$B$8</f>
        <v/>
      </c>
      <c r="F215">
        <f>D215-E215</f>
        <v/>
      </c>
      <c r="G215">
        <f>C215-F215</f>
        <v/>
      </c>
    </row>
    <row r="216">
      <c r="B216" t="n">
        <v>200</v>
      </c>
      <c r="C216">
        <f>G215</f>
        <v/>
      </c>
      <c r="D216">
        <f>$B$10</f>
        <v/>
      </c>
      <c r="E216">
        <f>C216*$B$8</f>
        <v/>
      </c>
      <c r="F216">
        <f>D216-E216</f>
        <v/>
      </c>
      <c r="G216">
        <f>C216-F216</f>
        <v/>
      </c>
    </row>
    <row r="217">
      <c r="B217" t="n">
        <v>201</v>
      </c>
      <c r="C217">
        <f>G216</f>
        <v/>
      </c>
      <c r="D217">
        <f>$B$10</f>
        <v/>
      </c>
      <c r="E217">
        <f>C217*$B$8</f>
        <v/>
      </c>
      <c r="F217">
        <f>D217-E217</f>
        <v/>
      </c>
      <c r="G217">
        <f>C217-F217</f>
        <v/>
      </c>
    </row>
    <row r="218">
      <c r="B218" t="n">
        <v>202</v>
      </c>
      <c r="C218">
        <f>G217</f>
        <v/>
      </c>
      <c r="D218">
        <f>$B$10</f>
        <v/>
      </c>
      <c r="E218">
        <f>C218*$B$8</f>
        <v/>
      </c>
      <c r="F218">
        <f>D218-E218</f>
        <v/>
      </c>
      <c r="G218">
        <f>C218-F218</f>
        <v/>
      </c>
    </row>
    <row r="219">
      <c r="B219" t="n">
        <v>203</v>
      </c>
      <c r="C219">
        <f>G218</f>
        <v/>
      </c>
      <c r="D219">
        <f>$B$10</f>
        <v/>
      </c>
      <c r="E219">
        <f>C219*$B$8</f>
        <v/>
      </c>
      <c r="F219">
        <f>D219-E219</f>
        <v/>
      </c>
      <c r="G219">
        <f>C219-F219</f>
        <v/>
      </c>
    </row>
    <row r="220">
      <c r="B220" t="n">
        <v>204</v>
      </c>
      <c r="C220">
        <f>G219</f>
        <v/>
      </c>
      <c r="D220">
        <f>$B$10</f>
        <v/>
      </c>
      <c r="E220">
        <f>C220*$B$8</f>
        <v/>
      </c>
      <c r="F220">
        <f>D220-E220</f>
        <v/>
      </c>
      <c r="G220">
        <f>C220-F220</f>
        <v/>
      </c>
    </row>
    <row r="221">
      <c r="B221" t="n">
        <v>205</v>
      </c>
      <c r="C221">
        <f>G220</f>
        <v/>
      </c>
      <c r="D221">
        <f>$B$10</f>
        <v/>
      </c>
      <c r="E221">
        <f>C221*$B$8</f>
        <v/>
      </c>
      <c r="F221">
        <f>D221-E221</f>
        <v/>
      </c>
      <c r="G221">
        <f>C221-F221</f>
        <v/>
      </c>
    </row>
    <row r="222">
      <c r="B222" t="n">
        <v>206</v>
      </c>
      <c r="C222">
        <f>G221</f>
        <v/>
      </c>
      <c r="D222">
        <f>$B$10</f>
        <v/>
      </c>
      <c r="E222">
        <f>C222*$B$8</f>
        <v/>
      </c>
      <c r="F222">
        <f>D222-E222</f>
        <v/>
      </c>
      <c r="G222">
        <f>C222-F222</f>
        <v/>
      </c>
    </row>
    <row r="223">
      <c r="B223" t="n">
        <v>207</v>
      </c>
      <c r="C223">
        <f>G222</f>
        <v/>
      </c>
      <c r="D223">
        <f>$B$10</f>
        <v/>
      </c>
      <c r="E223">
        <f>C223*$B$8</f>
        <v/>
      </c>
      <c r="F223">
        <f>D223-E223</f>
        <v/>
      </c>
      <c r="G223">
        <f>C223-F223</f>
        <v/>
      </c>
    </row>
    <row r="224">
      <c r="B224" t="n">
        <v>208</v>
      </c>
      <c r="C224">
        <f>G223</f>
        <v/>
      </c>
      <c r="D224">
        <f>$B$10</f>
        <v/>
      </c>
      <c r="E224">
        <f>C224*$B$8</f>
        <v/>
      </c>
      <c r="F224">
        <f>D224-E224</f>
        <v/>
      </c>
      <c r="G224">
        <f>C224-F224</f>
        <v/>
      </c>
    </row>
    <row r="225">
      <c r="B225" t="n">
        <v>209</v>
      </c>
      <c r="C225">
        <f>G224</f>
        <v/>
      </c>
      <c r="D225">
        <f>$B$10</f>
        <v/>
      </c>
      <c r="E225">
        <f>C225*$B$8</f>
        <v/>
      </c>
      <c r="F225">
        <f>D225-E225</f>
        <v/>
      </c>
      <c r="G225">
        <f>C225-F225</f>
        <v/>
      </c>
    </row>
    <row r="226">
      <c r="B226" t="n">
        <v>210</v>
      </c>
      <c r="C226">
        <f>G225</f>
        <v/>
      </c>
      <c r="D226">
        <f>$B$10</f>
        <v/>
      </c>
      <c r="E226">
        <f>C226*$B$8</f>
        <v/>
      </c>
      <c r="F226">
        <f>D226-E226</f>
        <v/>
      </c>
      <c r="G226">
        <f>C226-F226</f>
        <v/>
      </c>
    </row>
    <row r="227">
      <c r="B227" t="n">
        <v>211</v>
      </c>
      <c r="C227">
        <f>G226</f>
        <v/>
      </c>
      <c r="D227">
        <f>$B$10</f>
        <v/>
      </c>
      <c r="E227">
        <f>C227*$B$8</f>
        <v/>
      </c>
      <c r="F227">
        <f>D227-E227</f>
        <v/>
      </c>
      <c r="G227">
        <f>C227-F227</f>
        <v/>
      </c>
    </row>
    <row r="228">
      <c r="B228" t="n">
        <v>212</v>
      </c>
      <c r="C228">
        <f>G227</f>
        <v/>
      </c>
      <c r="D228">
        <f>$B$10</f>
        <v/>
      </c>
      <c r="E228">
        <f>C228*$B$8</f>
        <v/>
      </c>
      <c r="F228">
        <f>D228-E228</f>
        <v/>
      </c>
      <c r="G228">
        <f>C228-F228</f>
        <v/>
      </c>
    </row>
    <row r="229">
      <c r="B229" t="n">
        <v>213</v>
      </c>
      <c r="C229">
        <f>G228</f>
        <v/>
      </c>
      <c r="D229">
        <f>$B$10</f>
        <v/>
      </c>
      <c r="E229">
        <f>C229*$B$8</f>
        <v/>
      </c>
      <c r="F229">
        <f>D229-E229</f>
        <v/>
      </c>
      <c r="G229">
        <f>C229-F229</f>
        <v/>
      </c>
    </row>
    <row r="230">
      <c r="B230" t="n">
        <v>214</v>
      </c>
      <c r="C230">
        <f>G229</f>
        <v/>
      </c>
      <c r="D230">
        <f>$B$10</f>
        <v/>
      </c>
      <c r="E230">
        <f>C230*$B$8</f>
        <v/>
      </c>
      <c r="F230">
        <f>D230-E230</f>
        <v/>
      </c>
      <c r="G230">
        <f>C230-F230</f>
        <v/>
      </c>
    </row>
    <row r="231">
      <c r="B231" t="n">
        <v>215</v>
      </c>
      <c r="C231">
        <f>G230</f>
        <v/>
      </c>
      <c r="D231">
        <f>$B$10</f>
        <v/>
      </c>
      <c r="E231">
        <f>C231*$B$8</f>
        <v/>
      </c>
      <c r="F231">
        <f>D231-E231</f>
        <v/>
      </c>
      <c r="G231">
        <f>C231-F231</f>
        <v/>
      </c>
    </row>
    <row r="232">
      <c r="B232" t="n">
        <v>216</v>
      </c>
      <c r="C232">
        <f>G231</f>
        <v/>
      </c>
      <c r="D232">
        <f>$B$10</f>
        <v/>
      </c>
      <c r="E232">
        <f>C232*$B$8</f>
        <v/>
      </c>
      <c r="F232">
        <f>D232-E232</f>
        <v/>
      </c>
      <c r="G232">
        <f>C232-F232</f>
        <v/>
      </c>
    </row>
    <row r="233">
      <c r="B233" t="n">
        <v>217</v>
      </c>
      <c r="C233">
        <f>G232</f>
        <v/>
      </c>
      <c r="D233">
        <f>$B$10</f>
        <v/>
      </c>
      <c r="E233">
        <f>C233*$B$8</f>
        <v/>
      </c>
      <c r="F233">
        <f>D233-E233</f>
        <v/>
      </c>
      <c r="G233">
        <f>C233-F233</f>
        <v/>
      </c>
    </row>
    <row r="234">
      <c r="B234" t="n">
        <v>218</v>
      </c>
      <c r="C234">
        <f>G233</f>
        <v/>
      </c>
      <c r="D234">
        <f>$B$10</f>
        <v/>
      </c>
      <c r="E234">
        <f>C234*$B$8</f>
        <v/>
      </c>
      <c r="F234">
        <f>D234-E234</f>
        <v/>
      </c>
      <c r="G234">
        <f>C234-F234</f>
        <v/>
      </c>
    </row>
    <row r="235">
      <c r="B235" t="n">
        <v>219</v>
      </c>
      <c r="C235">
        <f>G234</f>
        <v/>
      </c>
      <c r="D235">
        <f>$B$10</f>
        <v/>
      </c>
      <c r="E235">
        <f>C235*$B$8</f>
        <v/>
      </c>
      <c r="F235">
        <f>D235-E235</f>
        <v/>
      </c>
      <c r="G235">
        <f>C235-F235</f>
        <v/>
      </c>
    </row>
    <row r="236">
      <c r="B236" t="n">
        <v>220</v>
      </c>
      <c r="C236">
        <f>G235</f>
        <v/>
      </c>
      <c r="D236">
        <f>$B$10</f>
        <v/>
      </c>
      <c r="E236">
        <f>C236*$B$8</f>
        <v/>
      </c>
      <c r="F236">
        <f>D236-E236</f>
        <v/>
      </c>
      <c r="G236">
        <f>C236-F236</f>
        <v/>
      </c>
    </row>
    <row r="237">
      <c r="B237" t="n">
        <v>221</v>
      </c>
      <c r="C237">
        <f>G236</f>
        <v/>
      </c>
      <c r="D237">
        <f>$B$10</f>
        <v/>
      </c>
      <c r="E237">
        <f>C237*$B$8</f>
        <v/>
      </c>
      <c r="F237">
        <f>D237-E237</f>
        <v/>
      </c>
      <c r="G237">
        <f>C237-F237</f>
        <v/>
      </c>
    </row>
    <row r="238">
      <c r="B238" t="n">
        <v>222</v>
      </c>
      <c r="C238">
        <f>G237</f>
        <v/>
      </c>
      <c r="D238">
        <f>$B$10</f>
        <v/>
      </c>
      <c r="E238">
        <f>C238*$B$8</f>
        <v/>
      </c>
      <c r="F238">
        <f>D238-E238</f>
        <v/>
      </c>
      <c r="G238">
        <f>C238-F238</f>
        <v/>
      </c>
    </row>
    <row r="239">
      <c r="B239" t="n">
        <v>223</v>
      </c>
      <c r="C239">
        <f>G238</f>
        <v/>
      </c>
      <c r="D239">
        <f>$B$10</f>
        <v/>
      </c>
      <c r="E239">
        <f>C239*$B$8</f>
        <v/>
      </c>
      <c r="F239">
        <f>D239-E239</f>
        <v/>
      </c>
      <c r="G239">
        <f>C239-F239</f>
        <v/>
      </c>
    </row>
    <row r="240">
      <c r="B240" t="n">
        <v>224</v>
      </c>
      <c r="C240">
        <f>G239</f>
        <v/>
      </c>
      <c r="D240">
        <f>$B$10</f>
        <v/>
      </c>
      <c r="E240">
        <f>C240*$B$8</f>
        <v/>
      </c>
      <c r="F240">
        <f>D240-E240</f>
        <v/>
      </c>
      <c r="G240">
        <f>C240-F240</f>
        <v/>
      </c>
    </row>
    <row r="241">
      <c r="B241" t="n">
        <v>225</v>
      </c>
      <c r="C241">
        <f>G240</f>
        <v/>
      </c>
      <c r="D241">
        <f>$B$10</f>
        <v/>
      </c>
      <c r="E241">
        <f>C241*$B$8</f>
        <v/>
      </c>
      <c r="F241">
        <f>D241-E241</f>
        <v/>
      </c>
      <c r="G241">
        <f>C241-F241</f>
        <v/>
      </c>
    </row>
    <row r="242">
      <c r="B242" t="n">
        <v>226</v>
      </c>
      <c r="C242">
        <f>G241</f>
        <v/>
      </c>
      <c r="D242">
        <f>$B$10</f>
        <v/>
      </c>
      <c r="E242">
        <f>C242*$B$8</f>
        <v/>
      </c>
      <c r="F242">
        <f>D242-E242</f>
        <v/>
      </c>
      <c r="G242">
        <f>C242-F242</f>
        <v/>
      </c>
    </row>
    <row r="243">
      <c r="B243" t="n">
        <v>227</v>
      </c>
      <c r="C243">
        <f>G242</f>
        <v/>
      </c>
      <c r="D243">
        <f>$B$10</f>
        <v/>
      </c>
      <c r="E243">
        <f>C243*$B$8</f>
        <v/>
      </c>
      <c r="F243">
        <f>D243-E243</f>
        <v/>
      </c>
      <c r="G243">
        <f>C243-F243</f>
        <v/>
      </c>
    </row>
    <row r="244">
      <c r="B244" t="n">
        <v>228</v>
      </c>
      <c r="C244">
        <f>G243</f>
        <v/>
      </c>
      <c r="D244">
        <f>$B$10</f>
        <v/>
      </c>
      <c r="E244">
        <f>C244*$B$8</f>
        <v/>
      </c>
      <c r="F244">
        <f>D244-E244</f>
        <v/>
      </c>
      <c r="G244">
        <f>C244-F244</f>
        <v/>
      </c>
    </row>
    <row r="245">
      <c r="B245" t="n">
        <v>229</v>
      </c>
      <c r="C245">
        <f>G244</f>
        <v/>
      </c>
      <c r="D245">
        <f>$B$10</f>
        <v/>
      </c>
      <c r="E245">
        <f>C245*$B$8</f>
        <v/>
      </c>
      <c r="F245">
        <f>D245-E245</f>
        <v/>
      </c>
      <c r="G245">
        <f>C245-F245</f>
        <v/>
      </c>
    </row>
    <row r="246">
      <c r="B246" t="n">
        <v>230</v>
      </c>
      <c r="C246">
        <f>G245</f>
        <v/>
      </c>
      <c r="D246">
        <f>$B$10</f>
        <v/>
      </c>
      <c r="E246">
        <f>C246*$B$8</f>
        <v/>
      </c>
      <c r="F246">
        <f>D246-E246</f>
        <v/>
      </c>
      <c r="G246">
        <f>C246-F246</f>
        <v/>
      </c>
    </row>
    <row r="247">
      <c r="B247" t="n">
        <v>231</v>
      </c>
      <c r="C247">
        <f>G246</f>
        <v/>
      </c>
      <c r="D247">
        <f>$B$10</f>
        <v/>
      </c>
      <c r="E247">
        <f>C247*$B$8</f>
        <v/>
      </c>
      <c r="F247">
        <f>D247-E247</f>
        <v/>
      </c>
      <c r="G247">
        <f>C247-F247</f>
        <v/>
      </c>
    </row>
    <row r="248">
      <c r="B248" t="n">
        <v>232</v>
      </c>
      <c r="C248">
        <f>G247</f>
        <v/>
      </c>
      <c r="D248">
        <f>$B$10</f>
        <v/>
      </c>
      <c r="E248">
        <f>C248*$B$8</f>
        <v/>
      </c>
      <c r="F248">
        <f>D248-E248</f>
        <v/>
      </c>
      <c r="G248">
        <f>C248-F248</f>
        <v/>
      </c>
    </row>
    <row r="249">
      <c r="B249" t="n">
        <v>233</v>
      </c>
      <c r="C249">
        <f>G248</f>
        <v/>
      </c>
      <c r="D249">
        <f>$B$10</f>
        <v/>
      </c>
      <c r="E249">
        <f>C249*$B$8</f>
        <v/>
      </c>
      <c r="F249">
        <f>D249-E249</f>
        <v/>
      </c>
      <c r="G249">
        <f>C249-F249</f>
        <v/>
      </c>
    </row>
    <row r="250">
      <c r="B250" t="n">
        <v>234</v>
      </c>
      <c r="C250">
        <f>G249</f>
        <v/>
      </c>
      <c r="D250">
        <f>$B$10</f>
        <v/>
      </c>
      <c r="E250">
        <f>C250*$B$8</f>
        <v/>
      </c>
      <c r="F250">
        <f>D250-E250</f>
        <v/>
      </c>
      <c r="G250">
        <f>C250-F250</f>
        <v/>
      </c>
    </row>
    <row r="251">
      <c r="B251" t="n">
        <v>235</v>
      </c>
      <c r="C251">
        <f>G250</f>
        <v/>
      </c>
      <c r="D251">
        <f>$B$10</f>
        <v/>
      </c>
      <c r="E251">
        <f>C251*$B$8</f>
        <v/>
      </c>
      <c r="F251">
        <f>D251-E251</f>
        <v/>
      </c>
      <c r="G251">
        <f>C251-F251</f>
        <v/>
      </c>
    </row>
    <row r="252">
      <c r="B252" t="n">
        <v>236</v>
      </c>
      <c r="C252">
        <f>G251</f>
        <v/>
      </c>
      <c r="D252">
        <f>$B$10</f>
        <v/>
      </c>
      <c r="E252">
        <f>C252*$B$8</f>
        <v/>
      </c>
      <c r="F252">
        <f>D252-E252</f>
        <v/>
      </c>
      <c r="G252">
        <f>C252-F252</f>
        <v/>
      </c>
    </row>
    <row r="253">
      <c r="B253" t="n">
        <v>237</v>
      </c>
      <c r="C253">
        <f>G252</f>
        <v/>
      </c>
      <c r="D253">
        <f>$B$10</f>
        <v/>
      </c>
      <c r="E253">
        <f>C253*$B$8</f>
        <v/>
      </c>
      <c r="F253">
        <f>D253-E253</f>
        <v/>
      </c>
      <c r="G253">
        <f>C253-F253</f>
        <v/>
      </c>
    </row>
    <row r="254">
      <c r="B254" t="n">
        <v>238</v>
      </c>
      <c r="C254">
        <f>G253</f>
        <v/>
      </c>
      <c r="D254">
        <f>$B$10</f>
        <v/>
      </c>
      <c r="E254">
        <f>C254*$B$8</f>
        <v/>
      </c>
      <c r="F254">
        <f>D254-E254</f>
        <v/>
      </c>
      <c r="G254">
        <f>C254-F254</f>
        <v/>
      </c>
    </row>
    <row r="255">
      <c r="B255" t="n">
        <v>239</v>
      </c>
      <c r="C255">
        <f>G254</f>
        <v/>
      </c>
      <c r="D255">
        <f>$B$10</f>
        <v/>
      </c>
      <c r="E255">
        <f>C255*$B$8</f>
        <v/>
      </c>
      <c r="F255">
        <f>D255-E255</f>
        <v/>
      </c>
      <c r="G255">
        <f>C255-F255</f>
        <v/>
      </c>
    </row>
    <row r="256">
      <c r="B256" t="n">
        <v>240</v>
      </c>
      <c r="C256">
        <f>G255</f>
        <v/>
      </c>
      <c r="D256">
        <f>$B$10</f>
        <v/>
      </c>
      <c r="E256">
        <f>C256*$B$8</f>
        <v/>
      </c>
      <c r="F256">
        <f>D256-E256</f>
        <v/>
      </c>
      <c r="G256">
        <f>C256-F256</f>
        <v/>
      </c>
    </row>
    <row r="257">
      <c r="B257" t="n">
        <v>241</v>
      </c>
      <c r="C257">
        <f>G256</f>
        <v/>
      </c>
      <c r="D257">
        <f>$B$10</f>
        <v/>
      </c>
      <c r="E257">
        <f>C257*$B$8</f>
        <v/>
      </c>
      <c r="F257">
        <f>D257-E257</f>
        <v/>
      </c>
      <c r="G257">
        <f>C257-F257</f>
        <v/>
      </c>
    </row>
    <row r="258">
      <c r="B258" t="n">
        <v>242</v>
      </c>
      <c r="C258">
        <f>G257</f>
        <v/>
      </c>
      <c r="D258">
        <f>$B$10</f>
        <v/>
      </c>
      <c r="E258">
        <f>C258*$B$8</f>
        <v/>
      </c>
      <c r="F258">
        <f>D258-E258</f>
        <v/>
      </c>
      <c r="G258">
        <f>C258-F258</f>
        <v/>
      </c>
    </row>
    <row r="259">
      <c r="B259" t="n">
        <v>243</v>
      </c>
      <c r="C259">
        <f>G258</f>
        <v/>
      </c>
      <c r="D259">
        <f>$B$10</f>
        <v/>
      </c>
      <c r="E259">
        <f>C259*$B$8</f>
        <v/>
      </c>
      <c r="F259">
        <f>D259-E259</f>
        <v/>
      </c>
      <c r="G259">
        <f>C259-F259</f>
        <v/>
      </c>
    </row>
    <row r="260">
      <c r="B260" t="n">
        <v>244</v>
      </c>
      <c r="C260">
        <f>G259</f>
        <v/>
      </c>
      <c r="D260">
        <f>$B$10</f>
        <v/>
      </c>
      <c r="E260">
        <f>C260*$B$8</f>
        <v/>
      </c>
      <c r="F260">
        <f>D260-E260</f>
        <v/>
      </c>
      <c r="G260">
        <f>C260-F260</f>
        <v/>
      </c>
    </row>
    <row r="261">
      <c r="B261" t="n">
        <v>245</v>
      </c>
      <c r="C261">
        <f>G260</f>
        <v/>
      </c>
      <c r="D261">
        <f>$B$10</f>
        <v/>
      </c>
      <c r="E261">
        <f>C261*$B$8</f>
        <v/>
      </c>
      <c r="F261">
        <f>D261-E261</f>
        <v/>
      </c>
      <c r="G261">
        <f>C261-F261</f>
        <v/>
      </c>
    </row>
    <row r="262">
      <c r="B262" t="n">
        <v>246</v>
      </c>
      <c r="C262">
        <f>G261</f>
        <v/>
      </c>
      <c r="D262">
        <f>$B$10</f>
        <v/>
      </c>
      <c r="E262">
        <f>C262*$B$8</f>
        <v/>
      </c>
      <c r="F262">
        <f>D262-E262</f>
        <v/>
      </c>
      <c r="G262">
        <f>C262-F262</f>
        <v/>
      </c>
    </row>
    <row r="263">
      <c r="B263" t="n">
        <v>247</v>
      </c>
      <c r="C263">
        <f>G262</f>
        <v/>
      </c>
      <c r="D263">
        <f>$B$10</f>
        <v/>
      </c>
      <c r="E263">
        <f>C263*$B$8</f>
        <v/>
      </c>
      <c r="F263">
        <f>D263-E263</f>
        <v/>
      </c>
      <c r="G263">
        <f>C263-F263</f>
        <v/>
      </c>
    </row>
    <row r="264">
      <c r="B264" t="n">
        <v>248</v>
      </c>
      <c r="C264">
        <f>G263</f>
        <v/>
      </c>
      <c r="D264">
        <f>$B$10</f>
        <v/>
      </c>
      <c r="E264">
        <f>C264*$B$8</f>
        <v/>
      </c>
      <c r="F264">
        <f>D264-E264</f>
        <v/>
      </c>
      <c r="G264">
        <f>C264-F264</f>
        <v/>
      </c>
    </row>
    <row r="265">
      <c r="B265" t="n">
        <v>249</v>
      </c>
      <c r="C265">
        <f>G264</f>
        <v/>
      </c>
      <c r="D265">
        <f>$B$10</f>
        <v/>
      </c>
      <c r="E265">
        <f>C265*$B$8</f>
        <v/>
      </c>
      <c r="F265">
        <f>D265-E265</f>
        <v/>
      </c>
      <c r="G265">
        <f>C265-F265</f>
        <v/>
      </c>
    </row>
    <row r="266">
      <c r="B266" t="n">
        <v>250</v>
      </c>
      <c r="C266">
        <f>G265</f>
        <v/>
      </c>
      <c r="D266">
        <f>$B$10</f>
        <v/>
      </c>
      <c r="E266">
        <f>C266*$B$8</f>
        <v/>
      </c>
      <c r="F266">
        <f>D266-E266</f>
        <v/>
      </c>
      <c r="G266">
        <f>C266-F266</f>
        <v/>
      </c>
    </row>
    <row r="267">
      <c r="B267" t="n">
        <v>251</v>
      </c>
      <c r="C267">
        <f>G266</f>
        <v/>
      </c>
      <c r="D267">
        <f>$B$10</f>
        <v/>
      </c>
      <c r="E267">
        <f>C267*$B$8</f>
        <v/>
      </c>
      <c r="F267">
        <f>D267-E267</f>
        <v/>
      </c>
      <c r="G267">
        <f>C267-F267</f>
        <v/>
      </c>
    </row>
    <row r="268">
      <c r="B268" t="n">
        <v>252</v>
      </c>
      <c r="C268">
        <f>G267</f>
        <v/>
      </c>
      <c r="D268">
        <f>$B$10</f>
        <v/>
      </c>
      <c r="E268">
        <f>C268*$B$8</f>
        <v/>
      </c>
      <c r="F268">
        <f>D268-E268</f>
        <v/>
      </c>
      <c r="G268">
        <f>C268-F268</f>
        <v/>
      </c>
    </row>
    <row r="269">
      <c r="B269" t="n">
        <v>253</v>
      </c>
      <c r="C269">
        <f>G268</f>
        <v/>
      </c>
      <c r="D269">
        <f>$B$10</f>
        <v/>
      </c>
      <c r="E269">
        <f>C269*$B$8</f>
        <v/>
      </c>
      <c r="F269">
        <f>D269-E269</f>
        <v/>
      </c>
      <c r="G269">
        <f>C269-F269</f>
        <v/>
      </c>
    </row>
    <row r="270">
      <c r="B270" t="n">
        <v>254</v>
      </c>
      <c r="C270">
        <f>G269</f>
        <v/>
      </c>
      <c r="D270">
        <f>$B$10</f>
        <v/>
      </c>
      <c r="E270">
        <f>C270*$B$8</f>
        <v/>
      </c>
      <c r="F270">
        <f>D270-E270</f>
        <v/>
      </c>
      <c r="G270">
        <f>C270-F270</f>
        <v/>
      </c>
    </row>
    <row r="271">
      <c r="B271" t="n">
        <v>255</v>
      </c>
      <c r="C271">
        <f>G270</f>
        <v/>
      </c>
      <c r="D271">
        <f>$B$10</f>
        <v/>
      </c>
      <c r="E271">
        <f>C271*$B$8</f>
        <v/>
      </c>
      <c r="F271">
        <f>D271-E271</f>
        <v/>
      </c>
      <c r="G271">
        <f>C271-F271</f>
        <v/>
      </c>
    </row>
    <row r="272">
      <c r="B272" t="n">
        <v>256</v>
      </c>
      <c r="C272">
        <f>G271</f>
        <v/>
      </c>
      <c r="D272">
        <f>$B$10</f>
        <v/>
      </c>
      <c r="E272">
        <f>C272*$B$8</f>
        <v/>
      </c>
      <c r="F272">
        <f>D272-E272</f>
        <v/>
      </c>
      <c r="G272">
        <f>C272-F272</f>
        <v/>
      </c>
    </row>
    <row r="273">
      <c r="B273" t="n">
        <v>257</v>
      </c>
      <c r="C273">
        <f>G272</f>
        <v/>
      </c>
      <c r="D273">
        <f>$B$10</f>
        <v/>
      </c>
      <c r="E273">
        <f>C273*$B$8</f>
        <v/>
      </c>
      <c r="F273">
        <f>D273-E273</f>
        <v/>
      </c>
      <c r="G273">
        <f>C273-F273</f>
        <v/>
      </c>
    </row>
    <row r="274">
      <c r="B274" t="n">
        <v>258</v>
      </c>
      <c r="C274">
        <f>G273</f>
        <v/>
      </c>
      <c r="D274">
        <f>$B$10</f>
        <v/>
      </c>
      <c r="E274">
        <f>C274*$B$8</f>
        <v/>
      </c>
      <c r="F274">
        <f>D274-E274</f>
        <v/>
      </c>
      <c r="G274">
        <f>C274-F274</f>
        <v/>
      </c>
    </row>
    <row r="275">
      <c r="B275" t="n">
        <v>259</v>
      </c>
      <c r="C275">
        <f>G274</f>
        <v/>
      </c>
      <c r="D275">
        <f>$B$10</f>
        <v/>
      </c>
      <c r="E275">
        <f>C275*$B$8</f>
        <v/>
      </c>
      <c r="F275">
        <f>D275-E275</f>
        <v/>
      </c>
      <c r="G275">
        <f>C275-F275</f>
        <v/>
      </c>
    </row>
    <row r="276">
      <c r="B276" t="n">
        <v>260</v>
      </c>
      <c r="C276">
        <f>G275</f>
        <v/>
      </c>
      <c r="D276">
        <f>$B$10</f>
        <v/>
      </c>
      <c r="E276">
        <f>C276*$B$8</f>
        <v/>
      </c>
      <c r="F276">
        <f>D276-E276</f>
        <v/>
      </c>
      <c r="G276">
        <f>C276-F276</f>
        <v/>
      </c>
    </row>
    <row r="277">
      <c r="B277" t="n">
        <v>261</v>
      </c>
      <c r="C277">
        <f>G276</f>
        <v/>
      </c>
      <c r="D277">
        <f>$B$10</f>
        <v/>
      </c>
      <c r="E277">
        <f>C277*$B$8</f>
        <v/>
      </c>
      <c r="F277">
        <f>D277-E277</f>
        <v/>
      </c>
      <c r="G277">
        <f>C277-F277</f>
        <v/>
      </c>
    </row>
    <row r="278">
      <c r="B278" t="n">
        <v>262</v>
      </c>
      <c r="C278">
        <f>G277</f>
        <v/>
      </c>
      <c r="D278">
        <f>$B$10</f>
        <v/>
      </c>
      <c r="E278">
        <f>C278*$B$8</f>
        <v/>
      </c>
      <c r="F278">
        <f>D278-E278</f>
        <v/>
      </c>
      <c r="G278">
        <f>C278-F278</f>
        <v/>
      </c>
    </row>
    <row r="279">
      <c r="B279" t="n">
        <v>263</v>
      </c>
      <c r="C279">
        <f>G278</f>
        <v/>
      </c>
      <c r="D279">
        <f>$B$10</f>
        <v/>
      </c>
      <c r="E279">
        <f>C279*$B$8</f>
        <v/>
      </c>
      <c r="F279">
        <f>D279-E279</f>
        <v/>
      </c>
      <c r="G279">
        <f>C279-F279</f>
        <v/>
      </c>
    </row>
    <row r="280">
      <c r="B280" t="n">
        <v>264</v>
      </c>
      <c r="C280">
        <f>G279</f>
        <v/>
      </c>
      <c r="D280">
        <f>$B$10</f>
        <v/>
      </c>
      <c r="E280">
        <f>C280*$B$8</f>
        <v/>
      </c>
      <c r="F280">
        <f>D280-E280</f>
        <v/>
      </c>
      <c r="G280">
        <f>C280-F280</f>
        <v/>
      </c>
    </row>
    <row r="281">
      <c r="B281" t="n">
        <v>265</v>
      </c>
      <c r="C281">
        <f>G280</f>
        <v/>
      </c>
      <c r="D281">
        <f>$B$10</f>
        <v/>
      </c>
      <c r="E281">
        <f>C281*$B$8</f>
        <v/>
      </c>
      <c r="F281">
        <f>D281-E281</f>
        <v/>
      </c>
      <c r="G281">
        <f>C281-F281</f>
        <v/>
      </c>
    </row>
    <row r="282">
      <c r="B282" t="n">
        <v>266</v>
      </c>
      <c r="C282">
        <f>G281</f>
        <v/>
      </c>
      <c r="D282">
        <f>$B$10</f>
        <v/>
      </c>
      <c r="E282">
        <f>C282*$B$8</f>
        <v/>
      </c>
      <c r="F282">
        <f>D282-E282</f>
        <v/>
      </c>
      <c r="G282">
        <f>C282-F282</f>
        <v/>
      </c>
    </row>
    <row r="283">
      <c r="B283" t="n">
        <v>267</v>
      </c>
      <c r="C283">
        <f>G282</f>
        <v/>
      </c>
      <c r="D283">
        <f>$B$10</f>
        <v/>
      </c>
      <c r="E283">
        <f>C283*$B$8</f>
        <v/>
      </c>
      <c r="F283">
        <f>D283-E283</f>
        <v/>
      </c>
      <c r="G283">
        <f>C283-F283</f>
        <v/>
      </c>
    </row>
    <row r="284">
      <c r="B284" t="n">
        <v>268</v>
      </c>
      <c r="C284">
        <f>G283</f>
        <v/>
      </c>
      <c r="D284">
        <f>$B$10</f>
        <v/>
      </c>
      <c r="E284">
        <f>C284*$B$8</f>
        <v/>
      </c>
      <c r="F284">
        <f>D284-E284</f>
        <v/>
      </c>
      <c r="G284">
        <f>C284-F284</f>
        <v/>
      </c>
    </row>
    <row r="285">
      <c r="B285" t="n">
        <v>269</v>
      </c>
      <c r="C285">
        <f>G284</f>
        <v/>
      </c>
      <c r="D285">
        <f>$B$10</f>
        <v/>
      </c>
      <c r="E285">
        <f>C285*$B$8</f>
        <v/>
      </c>
      <c r="F285">
        <f>D285-E285</f>
        <v/>
      </c>
      <c r="G285">
        <f>C285-F285</f>
        <v/>
      </c>
    </row>
    <row r="286">
      <c r="B286" t="n">
        <v>270</v>
      </c>
      <c r="C286">
        <f>G285</f>
        <v/>
      </c>
      <c r="D286">
        <f>$B$10</f>
        <v/>
      </c>
      <c r="E286">
        <f>C286*$B$8</f>
        <v/>
      </c>
      <c r="F286">
        <f>D286-E286</f>
        <v/>
      </c>
      <c r="G286">
        <f>C286-F286</f>
        <v/>
      </c>
    </row>
    <row r="287">
      <c r="B287" t="n">
        <v>271</v>
      </c>
      <c r="C287">
        <f>G286</f>
        <v/>
      </c>
      <c r="D287">
        <f>$B$10</f>
        <v/>
      </c>
      <c r="E287">
        <f>C287*$B$8</f>
        <v/>
      </c>
      <c r="F287">
        <f>D287-E287</f>
        <v/>
      </c>
      <c r="G287">
        <f>C287-F287</f>
        <v/>
      </c>
    </row>
    <row r="288">
      <c r="B288" t="n">
        <v>272</v>
      </c>
      <c r="C288">
        <f>G287</f>
        <v/>
      </c>
      <c r="D288">
        <f>$B$10</f>
        <v/>
      </c>
      <c r="E288">
        <f>C288*$B$8</f>
        <v/>
      </c>
      <c r="F288">
        <f>D288-E288</f>
        <v/>
      </c>
      <c r="G288">
        <f>C288-F288</f>
        <v/>
      </c>
    </row>
    <row r="289">
      <c r="B289" t="n">
        <v>273</v>
      </c>
      <c r="C289">
        <f>G288</f>
        <v/>
      </c>
      <c r="D289">
        <f>$B$10</f>
        <v/>
      </c>
      <c r="E289">
        <f>C289*$B$8</f>
        <v/>
      </c>
      <c r="F289">
        <f>D289-E289</f>
        <v/>
      </c>
      <c r="G289">
        <f>C289-F289</f>
        <v/>
      </c>
    </row>
    <row r="290">
      <c r="B290" t="n">
        <v>274</v>
      </c>
      <c r="C290">
        <f>G289</f>
        <v/>
      </c>
      <c r="D290">
        <f>$B$10</f>
        <v/>
      </c>
      <c r="E290">
        <f>C290*$B$8</f>
        <v/>
      </c>
      <c r="F290">
        <f>D290-E290</f>
        <v/>
      </c>
      <c r="G290">
        <f>C290-F290</f>
        <v/>
      </c>
    </row>
    <row r="291">
      <c r="B291" t="n">
        <v>275</v>
      </c>
      <c r="C291">
        <f>G290</f>
        <v/>
      </c>
      <c r="D291">
        <f>$B$10</f>
        <v/>
      </c>
      <c r="E291">
        <f>C291*$B$8</f>
        <v/>
      </c>
      <c r="F291">
        <f>D291-E291</f>
        <v/>
      </c>
      <c r="G291">
        <f>C291-F291</f>
        <v/>
      </c>
    </row>
    <row r="292">
      <c r="B292" t="n">
        <v>276</v>
      </c>
      <c r="C292">
        <f>G291</f>
        <v/>
      </c>
      <c r="D292">
        <f>$B$10</f>
        <v/>
      </c>
      <c r="E292">
        <f>C292*$B$8</f>
        <v/>
      </c>
      <c r="F292">
        <f>D292-E292</f>
        <v/>
      </c>
      <c r="G292">
        <f>C292-F292</f>
        <v/>
      </c>
    </row>
    <row r="293">
      <c r="B293" t="n">
        <v>277</v>
      </c>
      <c r="C293">
        <f>G292</f>
        <v/>
      </c>
      <c r="D293">
        <f>$B$10</f>
        <v/>
      </c>
      <c r="E293">
        <f>C293*$B$8</f>
        <v/>
      </c>
      <c r="F293">
        <f>D293-E293</f>
        <v/>
      </c>
      <c r="G293">
        <f>C293-F293</f>
        <v/>
      </c>
    </row>
    <row r="294">
      <c r="B294" t="n">
        <v>278</v>
      </c>
      <c r="C294">
        <f>G293</f>
        <v/>
      </c>
      <c r="D294">
        <f>$B$10</f>
        <v/>
      </c>
      <c r="E294">
        <f>C294*$B$8</f>
        <v/>
      </c>
      <c r="F294">
        <f>D294-E294</f>
        <v/>
      </c>
      <c r="G294">
        <f>C294-F294</f>
        <v/>
      </c>
    </row>
    <row r="295">
      <c r="B295" t="n">
        <v>279</v>
      </c>
      <c r="C295">
        <f>G294</f>
        <v/>
      </c>
      <c r="D295">
        <f>$B$10</f>
        <v/>
      </c>
      <c r="E295">
        <f>C295*$B$8</f>
        <v/>
      </c>
      <c r="F295">
        <f>D295-E295</f>
        <v/>
      </c>
      <c r="G295">
        <f>C295-F295</f>
        <v/>
      </c>
    </row>
    <row r="296">
      <c r="B296" t="n">
        <v>280</v>
      </c>
      <c r="C296">
        <f>G295</f>
        <v/>
      </c>
      <c r="D296">
        <f>$B$10</f>
        <v/>
      </c>
      <c r="E296">
        <f>C296*$B$8</f>
        <v/>
      </c>
      <c r="F296">
        <f>D296-E296</f>
        <v/>
      </c>
      <c r="G296">
        <f>C296-F296</f>
        <v/>
      </c>
    </row>
    <row r="297">
      <c r="B297" t="n">
        <v>281</v>
      </c>
      <c r="C297">
        <f>G296</f>
        <v/>
      </c>
      <c r="D297">
        <f>$B$10</f>
        <v/>
      </c>
      <c r="E297">
        <f>C297*$B$8</f>
        <v/>
      </c>
      <c r="F297">
        <f>D297-E297</f>
        <v/>
      </c>
      <c r="G297">
        <f>C297-F297</f>
        <v/>
      </c>
    </row>
    <row r="298">
      <c r="B298" t="n">
        <v>282</v>
      </c>
      <c r="C298">
        <f>G297</f>
        <v/>
      </c>
      <c r="D298">
        <f>$B$10</f>
        <v/>
      </c>
      <c r="E298">
        <f>C298*$B$8</f>
        <v/>
      </c>
      <c r="F298">
        <f>D298-E298</f>
        <v/>
      </c>
      <c r="G298">
        <f>C298-F298</f>
        <v/>
      </c>
    </row>
    <row r="299">
      <c r="B299" t="n">
        <v>283</v>
      </c>
      <c r="C299">
        <f>G298</f>
        <v/>
      </c>
      <c r="D299">
        <f>$B$10</f>
        <v/>
      </c>
      <c r="E299">
        <f>C299*$B$8</f>
        <v/>
      </c>
      <c r="F299">
        <f>D299-E299</f>
        <v/>
      </c>
      <c r="G299">
        <f>C299-F299</f>
        <v/>
      </c>
    </row>
    <row r="300">
      <c r="B300" t="n">
        <v>284</v>
      </c>
      <c r="C300">
        <f>G299</f>
        <v/>
      </c>
      <c r="D300">
        <f>$B$10</f>
        <v/>
      </c>
      <c r="E300">
        <f>C300*$B$8</f>
        <v/>
      </c>
      <c r="F300">
        <f>D300-E300</f>
        <v/>
      </c>
      <c r="G300">
        <f>C300-F300</f>
        <v/>
      </c>
    </row>
    <row r="301">
      <c r="B301" t="n">
        <v>285</v>
      </c>
      <c r="C301">
        <f>G300</f>
        <v/>
      </c>
      <c r="D301">
        <f>$B$10</f>
        <v/>
      </c>
      <c r="E301">
        <f>C301*$B$8</f>
        <v/>
      </c>
      <c r="F301">
        <f>D301-E301</f>
        <v/>
      </c>
      <c r="G301">
        <f>C301-F301</f>
        <v/>
      </c>
    </row>
    <row r="302">
      <c r="B302" t="n">
        <v>286</v>
      </c>
      <c r="C302">
        <f>G301</f>
        <v/>
      </c>
      <c r="D302">
        <f>$B$10</f>
        <v/>
      </c>
      <c r="E302">
        <f>C302*$B$8</f>
        <v/>
      </c>
      <c r="F302">
        <f>D302-E302</f>
        <v/>
      </c>
      <c r="G302">
        <f>C302-F302</f>
        <v/>
      </c>
    </row>
    <row r="303">
      <c r="B303" t="n">
        <v>287</v>
      </c>
      <c r="C303">
        <f>G302</f>
        <v/>
      </c>
      <c r="D303">
        <f>$B$10</f>
        <v/>
      </c>
      <c r="E303">
        <f>C303*$B$8</f>
        <v/>
      </c>
      <c r="F303">
        <f>D303-E303</f>
        <v/>
      </c>
      <c r="G303">
        <f>C303-F303</f>
        <v/>
      </c>
    </row>
    <row r="304">
      <c r="B304" t="n">
        <v>288</v>
      </c>
      <c r="C304">
        <f>G303</f>
        <v/>
      </c>
      <c r="D304">
        <f>$B$10</f>
        <v/>
      </c>
      <c r="E304">
        <f>C304*$B$8</f>
        <v/>
      </c>
      <c r="F304">
        <f>D304-E304</f>
        <v/>
      </c>
      <c r="G304">
        <f>C304-F304</f>
        <v/>
      </c>
    </row>
    <row r="305">
      <c r="B305" t="n">
        <v>289</v>
      </c>
      <c r="C305">
        <f>G304</f>
        <v/>
      </c>
      <c r="D305">
        <f>$B$10</f>
        <v/>
      </c>
      <c r="E305">
        <f>C305*$B$8</f>
        <v/>
      </c>
      <c r="F305">
        <f>D305-E305</f>
        <v/>
      </c>
      <c r="G305">
        <f>C305-F305</f>
        <v/>
      </c>
    </row>
    <row r="306">
      <c r="B306" t="n">
        <v>290</v>
      </c>
      <c r="C306">
        <f>G305</f>
        <v/>
      </c>
      <c r="D306">
        <f>$B$10</f>
        <v/>
      </c>
      <c r="E306">
        <f>C306*$B$8</f>
        <v/>
      </c>
      <c r="F306">
        <f>D306-E306</f>
        <v/>
      </c>
      <c r="G306">
        <f>C306-F306</f>
        <v/>
      </c>
    </row>
    <row r="307">
      <c r="B307" t="n">
        <v>291</v>
      </c>
      <c r="C307">
        <f>G306</f>
        <v/>
      </c>
      <c r="D307">
        <f>$B$10</f>
        <v/>
      </c>
      <c r="E307">
        <f>C307*$B$8</f>
        <v/>
      </c>
      <c r="F307">
        <f>D307-E307</f>
        <v/>
      </c>
      <c r="G307">
        <f>C307-F307</f>
        <v/>
      </c>
    </row>
    <row r="308">
      <c r="B308" t="n">
        <v>292</v>
      </c>
      <c r="C308">
        <f>G307</f>
        <v/>
      </c>
      <c r="D308">
        <f>$B$10</f>
        <v/>
      </c>
      <c r="E308">
        <f>C308*$B$8</f>
        <v/>
      </c>
      <c r="F308">
        <f>D308-E308</f>
        <v/>
      </c>
      <c r="G308">
        <f>C308-F308</f>
        <v/>
      </c>
    </row>
    <row r="309">
      <c r="B309" t="n">
        <v>293</v>
      </c>
      <c r="C309">
        <f>G308</f>
        <v/>
      </c>
      <c r="D309">
        <f>$B$10</f>
        <v/>
      </c>
      <c r="E309">
        <f>C309*$B$8</f>
        <v/>
      </c>
      <c r="F309">
        <f>D309-E309</f>
        <v/>
      </c>
      <c r="G309">
        <f>C309-F309</f>
        <v/>
      </c>
    </row>
    <row r="310">
      <c r="B310" t="n">
        <v>294</v>
      </c>
      <c r="C310">
        <f>G309</f>
        <v/>
      </c>
      <c r="D310">
        <f>$B$10</f>
        <v/>
      </c>
      <c r="E310">
        <f>C310*$B$8</f>
        <v/>
      </c>
      <c r="F310">
        <f>D310-E310</f>
        <v/>
      </c>
      <c r="G310">
        <f>C310-F310</f>
        <v/>
      </c>
    </row>
    <row r="311">
      <c r="B311" t="n">
        <v>295</v>
      </c>
      <c r="C311">
        <f>G310</f>
        <v/>
      </c>
      <c r="D311">
        <f>$B$10</f>
        <v/>
      </c>
      <c r="E311">
        <f>C311*$B$8</f>
        <v/>
      </c>
      <c r="F311">
        <f>D311-E311</f>
        <v/>
      </c>
      <c r="G311">
        <f>C311-F311</f>
        <v/>
      </c>
    </row>
    <row r="312">
      <c r="B312" t="n">
        <v>296</v>
      </c>
      <c r="C312">
        <f>G311</f>
        <v/>
      </c>
      <c r="D312">
        <f>$B$10</f>
        <v/>
      </c>
      <c r="E312">
        <f>C312*$B$8</f>
        <v/>
      </c>
      <c r="F312">
        <f>D312-E312</f>
        <v/>
      </c>
      <c r="G312">
        <f>C312-F312</f>
        <v/>
      </c>
    </row>
    <row r="313">
      <c r="B313" t="n">
        <v>297</v>
      </c>
      <c r="C313">
        <f>G312</f>
        <v/>
      </c>
      <c r="D313">
        <f>$B$10</f>
        <v/>
      </c>
      <c r="E313">
        <f>C313*$B$8</f>
        <v/>
      </c>
      <c r="F313">
        <f>D313-E313</f>
        <v/>
      </c>
      <c r="G313">
        <f>C313-F313</f>
        <v/>
      </c>
    </row>
    <row r="314">
      <c r="B314" t="n">
        <v>298</v>
      </c>
      <c r="C314">
        <f>G313</f>
        <v/>
      </c>
      <c r="D314">
        <f>$B$10</f>
        <v/>
      </c>
      <c r="E314">
        <f>C314*$B$8</f>
        <v/>
      </c>
      <c r="F314">
        <f>D314-E314</f>
        <v/>
      </c>
      <c r="G314">
        <f>C314-F314</f>
        <v/>
      </c>
    </row>
    <row r="315">
      <c r="B315" t="n">
        <v>299</v>
      </c>
      <c r="C315">
        <f>G314</f>
        <v/>
      </c>
      <c r="D315">
        <f>$B$10</f>
        <v/>
      </c>
      <c r="E315">
        <f>C315*$B$8</f>
        <v/>
      </c>
      <c r="F315">
        <f>D315-E315</f>
        <v/>
      </c>
      <c r="G315">
        <f>C315-F315</f>
        <v/>
      </c>
    </row>
    <row r="316">
      <c r="B316" t="n">
        <v>300</v>
      </c>
      <c r="C316">
        <f>G315</f>
        <v/>
      </c>
      <c r="D316">
        <f>$B$10</f>
        <v/>
      </c>
      <c r="E316">
        <f>C316*$B$8</f>
        <v/>
      </c>
      <c r="F316">
        <f>D316-E316</f>
        <v/>
      </c>
      <c r="G316">
        <f>C316-F316</f>
        <v/>
      </c>
    </row>
    <row r="317">
      <c r="B317" t="n">
        <v>301</v>
      </c>
      <c r="C317">
        <f>G316</f>
        <v/>
      </c>
      <c r="D317">
        <f>$B$10</f>
        <v/>
      </c>
      <c r="E317">
        <f>C317*$B$8</f>
        <v/>
      </c>
      <c r="F317">
        <f>D317-E317</f>
        <v/>
      </c>
      <c r="G317">
        <f>C317-F317</f>
        <v/>
      </c>
    </row>
    <row r="318">
      <c r="B318" t="n">
        <v>302</v>
      </c>
      <c r="C318">
        <f>G317</f>
        <v/>
      </c>
      <c r="D318">
        <f>$B$10</f>
        <v/>
      </c>
      <c r="E318">
        <f>C318*$B$8</f>
        <v/>
      </c>
      <c r="F318">
        <f>D318-E318</f>
        <v/>
      </c>
      <c r="G318">
        <f>C318-F318</f>
        <v/>
      </c>
    </row>
    <row r="319">
      <c r="B319" t="n">
        <v>303</v>
      </c>
      <c r="C319">
        <f>G318</f>
        <v/>
      </c>
      <c r="D319">
        <f>$B$10</f>
        <v/>
      </c>
      <c r="E319">
        <f>C319*$B$8</f>
        <v/>
      </c>
      <c r="F319">
        <f>D319-E319</f>
        <v/>
      </c>
      <c r="G319">
        <f>C319-F319</f>
        <v/>
      </c>
    </row>
    <row r="320">
      <c r="B320" t="n">
        <v>304</v>
      </c>
      <c r="C320">
        <f>G319</f>
        <v/>
      </c>
      <c r="D320">
        <f>$B$10</f>
        <v/>
      </c>
      <c r="E320">
        <f>C320*$B$8</f>
        <v/>
      </c>
      <c r="F320">
        <f>D320-E320</f>
        <v/>
      </c>
      <c r="G320">
        <f>C320-F320</f>
        <v/>
      </c>
    </row>
    <row r="321">
      <c r="B321" t="n">
        <v>305</v>
      </c>
      <c r="C321">
        <f>G320</f>
        <v/>
      </c>
      <c r="D321">
        <f>$B$10</f>
        <v/>
      </c>
      <c r="E321">
        <f>C321*$B$8</f>
        <v/>
      </c>
      <c r="F321">
        <f>D321-E321</f>
        <v/>
      </c>
      <c r="G321">
        <f>C321-F321</f>
        <v/>
      </c>
    </row>
    <row r="322">
      <c r="B322" t="n">
        <v>306</v>
      </c>
      <c r="C322">
        <f>G321</f>
        <v/>
      </c>
      <c r="D322">
        <f>$B$10</f>
        <v/>
      </c>
      <c r="E322">
        <f>C322*$B$8</f>
        <v/>
      </c>
      <c r="F322">
        <f>D322-E322</f>
        <v/>
      </c>
      <c r="G322">
        <f>C322-F322</f>
        <v/>
      </c>
    </row>
    <row r="323">
      <c r="B323" t="n">
        <v>307</v>
      </c>
      <c r="C323">
        <f>G322</f>
        <v/>
      </c>
      <c r="D323">
        <f>$B$10</f>
        <v/>
      </c>
      <c r="E323">
        <f>C323*$B$8</f>
        <v/>
      </c>
      <c r="F323">
        <f>D323-E323</f>
        <v/>
      </c>
      <c r="G323">
        <f>C323-F323</f>
        <v/>
      </c>
    </row>
    <row r="324">
      <c r="B324" t="n">
        <v>308</v>
      </c>
      <c r="C324">
        <f>G323</f>
        <v/>
      </c>
      <c r="D324">
        <f>$B$10</f>
        <v/>
      </c>
      <c r="E324">
        <f>C324*$B$8</f>
        <v/>
      </c>
      <c r="F324">
        <f>D324-E324</f>
        <v/>
      </c>
      <c r="G324">
        <f>C324-F324</f>
        <v/>
      </c>
    </row>
    <row r="325">
      <c r="B325" t="n">
        <v>309</v>
      </c>
      <c r="C325">
        <f>G324</f>
        <v/>
      </c>
      <c r="D325">
        <f>$B$10</f>
        <v/>
      </c>
      <c r="E325">
        <f>C325*$B$8</f>
        <v/>
      </c>
      <c r="F325">
        <f>D325-E325</f>
        <v/>
      </c>
      <c r="G325">
        <f>C325-F325</f>
        <v/>
      </c>
    </row>
    <row r="326">
      <c r="B326" t="n">
        <v>310</v>
      </c>
      <c r="C326">
        <f>G325</f>
        <v/>
      </c>
      <c r="D326">
        <f>$B$10</f>
        <v/>
      </c>
      <c r="E326">
        <f>C326*$B$8</f>
        <v/>
      </c>
      <c r="F326">
        <f>D326-E326</f>
        <v/>
      </c>
      <c r="G326">
        <f>C326-F326</f>
        <v/>
      </c>
    </row>
    <row r="327">
      <c r="B327" t="n">
        <v>311</v>
      </c>
      <c r="C327">
        <f>G326</f>
        <v/>
      </c>
      <c r="D327">
        <f>$B$10</f>
        <v/>
      </c>
      <c r="E327">
        <f>C327*$B$8</f>
        <v/>
      </c>
      <c r="F327">
        <f>D327-E327</f>
        <v/>
      </c>
      <c r="G327">
        <f>C327-F327</f>
        <v/>
      </c>
    </row>
    <row r="328">
      <c r="B328" t="n">
        <v>312</v>
      </c>
      <c r="C328">
        <f>G327</f>
        <v/>
      </c>
      <c r="D328">
        <f>$B$10</f>
        <v/>
      </c>
      <c r="E328">
        <f>C328*$B$8</f>
        <v/>
      </c>
      <c r="F328">
        <f>D328-E328</f>
        <v/>
      </c>
      <c r="G328">
        <f>C328-F328</f>
        <v/>
      </c>
    </row>
    <row r="329">
      <c r="B329" t="n">
        <v>313</v>
      </c>
      <c r="C329">
        <f>G328</f>
        <v/>
      </c>
      <c r="D329">
        <f>$B$10</f>
        <v/>
      </c>
      <c r="E329">
        <f>C329*$B$8</f>
        <v/>
      </c>
      <c r="F329">
        <f>D329-E329</f>
        <v/>
      </c>
      <c r="G329">
        <f>C329-F329</f>
        <v/>
      </c>
    </row>
    <row r="330">
      <c r="B330" t="n">
        <v>314</v>
      </c>
      <c r="C330">
        <f>G329</f>
        <v/>
      </c>
      <c r="D330">
        <f>$B$10</f>
        <v/>
      </c>
      <c r="E330">
        <f>C330*$B$8</f>
        <v/>
      </c>
      <c r="F330">
        <f>D330-E330</f>
        <v/>
      </c>
      <c r="G330">
        <f>C330-F330</f>
        <v/>
      </c>
    </row>
    <row r="331">
      <c r="B331" t="n">
        <v>315</v>
      </c>
      <c r="C331">
        <f>G330</f>
        <v/>
      </c>
      <c r="D331">
        <f>$B$10</f>
        <v/>
      </c>
      <c r="E331">
        <f>C331*$B$8</f>
        <v/>
      </c>
      <c r="F331">
        <f>D331-E331</f>
        <v/>
      </c>
      <c r="G331">
        <f>C331-F331</f>
        <v/>
      </c>
    </row>
    <row r="332">
      <c r="B332" t="n">
        <v>316</v>
      </c>
      <c r="C332">
        <f>G331</f>
        <v/>
      </c>
      <c r="D332">
        <f>$B$10</f>
        <v/>
      </c>
      <c r="E332">
        <f>C332*$B$8</f>
        <v/>
      </c>
      <c r="F332">
        <f>D332-E332</f>
        <v/>
      </c>
      <c r="G332">
        <f>C332-F332</f>
        <v/>
      </c>
    </row>
    <row r="333">
      <c r="B333" t="n">
        <v>317</v>
      </c>
      <c r="C333">
        <f>G332</f>
        <v/>
      </c>
      <c r="D333">
        <f>$B$10</f>
        <v/>
      </c>
      <c r="E333">
        <f>C333*$B$8</f>
        <v/>
      </c>
      <c r="F333">
        <f>D333-E333</f>
        <v/>
      </c>
      <c r="G333">
        <f>C333-F333</f>
        <v/>
      </c>
    </row>
    <row r="334">
      <c r="B334" t="n">
        <v>318</v>
      </c>
      <c r="C334">
        <f>G333</f>
        <v/>
      </c>
      <c r="D334">
        <f>$B$10</f>
        <v/>
      </c>
      <c r="E334">
        <f>C334*$B$8</f>
        <v/>
      </c>
      <c r="F334">
        <f>D334-E334</f>
        <v/>
      </c>
      <c r="G334">
        <f>C334-F334</f>
        <v/>
      </c>
    </row>
    <row r="335">
      <c r="B335" t="n">
        <v>319</v>
      </c>
      <c r="C335">
        <f>G334</f>
        <v/>
      </c>
      <c r="D335">
        <f>$B$10</f>
        <v/>
      </c>
      <c r="E335">
        <f>C335*$B$8</f>
        <v/>
      </c>
      <c r="F335">
        <f>D335-E335</f>
        <v/>
      </c>
      <c r="G335">
        <f>C335-F335</f>
        <v/>
      </c>
    </row>
    <row r="336">
      <c r="B336" t="n">
        <v>320</v>
      </c>
      <c r="C336">
        <f>G335</f>
        <v/>
      </c>
      <c r="D336">
        <f>$B$10</f>
        <v/>
      </c>
      <c r="E336">
        <f>C336*$B$8</f>
        <v/>
      </c>
      <c r="F336">
        <f>D336-E336</f>
        <v/>
      </c>
      <c r="G336">
        <f>C336-F336</f>
        <v/>
      </c>
    </row>
    <row r="337">
      <c r="B337" t="n">
        <v>321</v>
      </c>
      <c r="C337">
        <f>G336</f>
        <v/>
      </c>
      <c r="D337">
        <f>$B$10</f>
        <v/>
      </c>
      <c r="E337">
        <f>C337*$B$8</f>
        <v/>
      </c>
      <c r="F337">
        <f>D337-E337</f>
        <v/>
      </c>
      <c r="G337">
        <f>C337-F337</f>
        <v/>
      </c>
    </row>
    <row r="338">
      <c r="B338" t="n">
        <v>322</v>
      </c>
      <c r="C338">
        <f>G337</f>
        <v/>
      </c>
      <c r="D338">
        <f>$B$10</f>
        <v/>
      </c>
      <c r="E338">
        <f>C338*$B$8</f>
        <v/>
      </c>
      <c r="F338">
        <f>D338-E338</f>
        <v/>
      </c>
      <c r="G338">
        <f>C338-F338</f>
        <v/>
      </c>
    </row>
    <row r="339">
      <c r="B339" t="n">
        <v>323</v>
      </c>
      <c r="C339">
        <f>G338</f>
        <v/>
      </c>
      <c r="D339">
        <f>$B$10</f>
        <v/>
      </c>
      <c r="E339">
        <f>C339*$B$8</f>
        <v/>
      </c>
      <c r="F339">
        <f>D339-E339</f>
        <v/>
      </c>
      <c r="G339">
        <f>C339-F339</f>
        <v/>
      </c>
    </row>
    <row r="340">
      <c r="B340" t="n">
        <v>324</v>
      </c>
      <c r="C340">
        <f>G339</f>
        <v/>
      </c>
      <c r="D340">
        <f>$B$10</f>
        <v/>
      </c>
      <c r="E340">
        <f>C340*$B$8</f>
        <v/>
      </c>
      <c r="F340">
        <f>D340-E340</f>
        <v/>
      </c>
      <c r="G340">
        <f>C340-F340</f>
        <v/>
      </c>
    </row>
    <row r="341">
      <c r="B341" t="n">
        <v>325</v>
      </c>
      <c r="C341">
        <f>G340</f>
        <v/>
      </c>
      <c r="D341">
        <f>$B$10</f>
        <v/>
      </c>
      <c r="E341">
        <f>C341*$B$8</f>
        <v/>
      </c>
      <c r="F341">
        <f>D341-E341</f>
        <v/>
      </c>
      <c r="G341">
        <f>C341-F341</f>
        <v/>
      </c>
    </row>
    <row r="342">
      <c r="B342" t="n">
        <v>326</v>
      </c>
      <c r="C342">
        <f>G341</f>
        <v/>
      </c>
      <c r="D342">
        <f>$B$10</f>
        <v/>
      </c>
      <c r="E342">
        <f>C342*$B$8</f>
        <v/>
      </c>
      <c r="F342">
        <f>D342-E342</f>
        <v/>
      </c>
      <c r="G342">
        <f>C342-F342</f>
        <v/>
      </c>
    </row>
    <row r="343">
      <c r="B343" t="n">
        <v>327</v>
      </c>
      <c r="C343">
        <f>G342</f>
        <v/>
      </c>
      <c r="D343">
        <f>$B$10</f>
        <v/>
      </c>
      <c r="E343">
        <f>C343*$B$8</f>
        <v/>
      </c>
      <c r="F343">
        <f>D343-E343</f>
        <v/>
      </c>
      <c r="G343">
        <f>C343-F343</f>
        <v/>
      </c>
    </row>
    <row r="344">
      <c r="B344" t="n">
        <v>328</v>
      </c>
      <c r="C344">
        <f>G343</f>
        <v/>
      </c>
      <c r="D344">
        <f>$B$10</f>
        <v/>
      </c>
      <c r="E344">
        <f>C344*$B$8</f>
        <v/>
      </c>
      <c r="F344">
        <f>D344-E344</f>
        <v/>
      </c>
      <c r="G344">
        <f>C344-F344</f>
        <v/>
      </c>
    </row>
    <row r="345">
      <c r="B345" t="n">
        <v>329</v>
      </c>
      <c r="C345">
        <f>G344</f>
        <v/>
      </c>
      <c r="D345">
        <f>$B$10</f>
        <v/>
      </c>
      <c r="E345">
        <f>C345*$B$8</f>
        <v/>
      </c>
      <c r="F345">
        <f>D345-E345</f>
        <v/>
      </c>
      <c r="G345">
        <f>C345-F345</f>
        <v/>
      </c>
    </row>
    <row r="346">
      <c r="B346" t="n">
        <v>330</v>
      </c>
      <c r="C346">
        <f>G345</f>
        <v/>
      </c>
      <c r="D346">
        <f>$B$10</f>
        <v/>
      </c>
      <c r="E346">
        <f>C346*$B$8</f>
        <v/>
      </c>
      <c r="F346">
        <f>D346-E346</f>
        <v/>
      </c>
      <c r="G346">
        <f>C346-F346</f>
        <v/>
      </c>
    </row>
    <row r="347">
      <c r="B347" t="n">
        <v>331</v>
      </c>
      <c r="C347">
        <f>G346</f>
        <v/>
      </c>
      <c r="D347">
        <f>$B$10</f>
        <v/>
      </c>
      <c r="E347">
        <f>C347*$B$8</f>
        <v/>
      </c>
      <c r="F347">
        <f>D347-E347</f>
        <v/>
      </c>
      <c r="G347">
        <f>C347-F347</f>
        <v/>
      </c>
    </row>
    <row r="348">
      <c r="B348" t="n">
        <v>332</v>
      </c>
      <c r="C348">
        <f>G347</f>
        <v/>
      </c>
      <c r="D348">
        <f>$B$10</f>
        <v/>
      </c>
      <c r="E348">
        <f>C348*$B$8</f>
        <v/>
      </c>
      <c r="F348">
        <f>D348-E348</f>
        <v/>
      </c>
      <c r="G348">
        <f>C348-F348</f>
        <v/>
      </c>
    </row>
    <row r="349">
      <c r="B349" t="n">
        <v>333</v>
      </c>
      <c r="C349">
        <f>G348</f>
        <v/>
      </c>
      <c r="D349">
        <f>$B$10</f>
        <v/>
      </c>
      <c r="E349">
        <f>C349*$B$8</f>
        <v/>
      </c>
      <c r="F349">
        <f>D349-E349</f>
        <v/>
      </c>
      <c r="G349">
        <f>C349-F349</f>
        <v/>
      </c>
    </row>
    <row r="350">
      <c r="B350" t="n">
        <v>334</v>
      </c>
      <c r="C350">
        <f>G349</f>
        <v/>
      </c>
      <c r="D350">
        <f>$B$10</f>
        <v/>
      </c>
      <c r="E350">
        <f>C350*$B$8</f>
        <v/>
      </c>
      <c r="F350">
        <f>D350-E350</f>
        <v/>
      </c>
      <c r="G350">
        <f>C350-F350</f>
        <v/>
      </c>
    </row>
    <row r="351">
      <c r="B351" t="n">
        <v>335</v>
      </c>
      <c r="C351">
        <f>G350</f>
        <v/>
      </c>
      <c r="D351">
        <f>$B$10</f>
        <v/>
      </c>
      <c r="E351">
        <f>C351*$B$8</f>
        <v/>
      </c>
      <c r="F351">
        <f>D351-E351</f>
        <v/>
      </c>
      <c r="G351">
        <f>C351-F351</f>
        <v/>
      </c>
    </row>
    <row r="352">
      <c r="B352" t="n">
        <v>336</v>
      </c>
      <c r="C352">
        <f>G351</f>
        <v/>
      </c>
      <c r="D352">
        <f>$B$10</f>
        <v/>
      </c>
      <c r="E352">
        <f>C352*$B$8</f>
        <v/>
      </c>
      <c r="F352">
        <f>D352-E352</f>
        <v/>
      </c>
      <c r="G352">
        <f>C352-F352</f>
        <v/>
      </c>
    </row>
    <row r="353">
      <c r="B353" t="n">
        <v>337</v>
      </c>
      <c r="C353">
        <f>G352</f>
        <v/>
      </c>
      <c r="D353">
        <f>$B$10</f>
        <v/>
      </c>
      <c r="E353">
        <f>C353*$B$8</f>
        <v/>
      </c>
      <c r="F353">
        <f>D353-E353</f>
        <v/>
      </c>
      <c r="G353">
        <f>C353-F353</f>
        <v/>
      </c>
    </row>
    <row r="354">
      <c r="B354" t="n">
        <v>338</v>
      </c>
      <c r="C354">
        <f>G353</f>
        <v/>
      </c>
      <c r="D354">
        <f>$B$10</f>
        <v/>
      </c>
      <c r="E354">
        <f>C354*$B$8</f>
        <v/>
      </c>
      <c r="F354">
        <f>D354-E354</f>
        <v/>
      </c>
      <c r="G354">
        <f>C354-F354</f>
        <v/>
      </c>
    </row>
    <row r="355">
      <c r="B355" t="n">
        <v>339</v>
      </c>
      <c r="C355">
        <f>G354</f>
        <v/>
      </c>
      <c r="D355">
        <f>$B$10</f>
        <v/>
      </c>
      <c r="E355">
        <f>C355*$B$8</f>
        <v/>
      </c>
      <c r="F355">
        <f>D355-E355</f>
        <v/>
      </c>
      <c r="G355">
        <f>C355-F355</f>
        <v/>
      </c>
    </row>
    <row r="356">
      <c r="B356" t="n">
        <v>340</v>
      </c>
      <c r="C356">
        <f>G355</f>
        <v/>
      </c>
      <c r="D356">
        <f>$B$10</f>
        <v/>
      </c>
      <c r="E356">
        <f>C356*$B$8</f>
        <v/>
      </c>
      <c r="F356">
        <f>D356-E356</f>
        <v/>
      </c>
      <c r="G356">
        <f>C356-F356</f>
        <v/>
      </c>
    </row>
    <row r="357">
      <c r="B357" t="n">
        <v>341</v>
      </c>
      <c r="C357">
        <f>G356</f>
        <v/>
      </c>
      <c r="D357">
        <f>$B$10</f>
        <v/>
      </c>
      <c r="E357">
        <f>C357*$B$8</f>
        <v/>
      </c>
      <c r="F357">
        <f>D357-E357</f>
        <v/>
      </c>
      <c r="G357">
        <f>C357-F357</f>
        <v/>
      </c>
    </row>
    <row r="358">
      <c r="B358" t="n">
        <v>342</v>
      </c>
      <c r="C358">
        <f>G357</f>
        <v/>
      </c>
      <c r="D358">
        <f>$B$10</f>
        <v/>
      </c>
      <c r="E358">
        <f>C358*$B$8</f>
        <v/>
      </c>
      <c r="F358">
        <f>D358-E358</f>
        <v/>
      </c>
      <c r="G358">
        <f>C358-F358</f>
        <v/>
      </c>
    </row>
    <row r="359">
      <c r="B359" t="n">
        <v>343</v>
      </c>
      <c r="C359">
        <f>G358</f>
        <v/>
      </c>
      <c r="D359">
        <f>$B$10</f>
        <v/>
      </c>
      <c r="E359">
        <f>C359*$B$8</f>
        <v/>
      </c>
      <c r="F359">
        <f>D359-E359</f>
        <v/>
      </c>
      <c r="G359">
        <f>C359-F359</f>
        <v/>
      </c>
    </row>
    <row r="360">
      <c r="B360" t="n">
        <v>344</v>
      </c>
      <c r="C360">
        <f>G359</f>
        <v/>
      </c>
      <c r="D360">
        <f>$B$10</f>
        <v/>
      </c>
      <c r="E360">
        <f>C360*$B$8</f>
        <v/>
      </c>
      <c r="F360">
        <f>D360-E360</f>
        <v/>
      </c>
      <c r="G360">
        <f>C360-F360</f>
        <v/>
      </c>
    </row>
    <row r="361">
      <c r="B361" t="n">
        <v>345</v>
      </c>
      <c r="C361">
        <f>G360</f>
        <v/>
      </c>
      <c r="D361">
        <f>$B$10</f>
        <v/>
      </c>
      <c r="E361">
        <f>C361*$B$8</f>
        <v/>
      </c>
      <c r="F361">
        <f>D361-E361</f>
        <v/>
      </c>
      <c r="G361">
        <f>C361-F361</f>
        <v/>
      </c>
    </row>
    <row r="362">
      <c r="B362" t="n">
        <v>346</v>
      </c>
      <c r="C362">
        <f>G361</f>
        <v/>
      </c>
      <c r="D362">
        <f>$B$10</f>
        <v/>
      </c>
      <c r="E362">
        <f>C362*$B$8</f>
        <v/>
      </c>
      <c r="F362">
        <f>D362-E362</f>
        <v/>
      </c>
      <c r="G362">
        <f>C362-F362</f>
        <v/>
      </c>
    </row>
    <row r="363">
      <c r="B363" t="n">
        <v>347</v>
      </c>
      <c r="C363">
        <f>G362</f>
        <v/>
      </c>
      <c r="D363">
        <f>$B$10</f>
        <v/>
      </c>
      <c r="E363">
        <f>C363*$B$8</f>
        <v/>
      </c>
      <c r="F363">
        <f>D363-E363</f>
        <v/>
      </c>
      <c r="G363">
        <f>C363-F363</f>
        <v/>
      </c>
    </row>
    <row r="364">
      <c r="B364" t="n">
        <v>348</v>
      </c>
      <c r="C364">
        <f>G363</f>
        <v/>
      </c>
      <c r="D364">
        <f>$B$10</f>
        <v/>
      </c>
      <c r="E364">
        <f>C364*$B$8</f>
        <v/>
      </c>
      <c r="F364">
        <f>D364-E364</f>
        <v/>
      </c>
      <c r="G364">
        <f>C364-F364</f>
        <v/>
      </c>
    </row>
    <row r="365">
      <c r="B365" t="n">
        <v>349</v>
      </c>
      <c r="C365">
        <f>G364</f>
        <v/>
      </c>
      <c r="D365">
        <f>$B$10</f>
        <v/>
      </c>
      <c r="E365">
        <f>C365*$B$8</f>
        <v/>
      </c>
      <c r="F365">
        <f>D365-E365</f>
        <v/>
      </c>
      <c r="G365">
        <f>C365-F365</f>
        <v/>
      </c>
    </row>
    <row r="366">
      <c r="B366" t="n">
        <v>350</v>
      </c>
      <c r="C366">
        <f>G365</f>
        <v/>
      </c>
      <c r="D366">
        <f>$B$10</f>
        <v/>
      </c>
      <c r="E366">
        <f>C366*$B$8</f>
        <v/>
      </c>
      <c r="F366">
        <f>D366-E366</f>
        <v/>
      </c>
      <c r="G366">
        <f>C366-F366</f>
        <v/>
      </c>
    </row>
    <row r="367">
      <c r="B367" t="n">
        <v>351</v>
      </c>
      <c r="C367">
        <f>G366</f>
        <v/>
      </c>
      <c r="D367">
        <f>$B$10</f>
        <v/>
      </c>
      <c r="E367">
        <f>C367*$B$8</f>
        <v/>
      </c>
      <c r="F367">
        <f>D367-E367</f>
        <v/>
      </c>
      <c r="G367">
        <f>C367-F367</f>
        <v/>
      </c>
    </row>
    <row r="368">
      <c r="B368" t="n">
        <v>352</v>
      </c>
      <c r="C368">
        <f>G367</f>
        <v/>
      </c>
      <c r="D368">
        <f>$B$10</f>
        <v/>
      </c>
      <c r="E368">
        <f>C368*$B$8</f>
        <v/>
      </c>
      <c r="F368">
        <f>D368-E368</f>
        <v/>
      </c>
      <c r="G368">
        <f>C368-F368</f>
        <v/>
      </c>
    </row>
    <row r="369">
      <c r="B369" t="n">
        <v>353</v>
      </c>
      <c r="C369">
        <f>G368</f>
        <v/>
      </c>
      <c r="D369">
        <f>$B$10</f>
        <v/>
      </c>
      <c r="E369">
        <f>C369*$B$8</f>
        <v/>
      </c>
      <c r="F369">
        <f>D369-E369</f>
        <v/>
      </c>
      <c r="G369">
        <f>C369-F369</f>
        <v/>
      </c>
    </row>
    <row r="370">
      <c r="B370" t="n">
        <v>354</v>
      </c>
      <c r="C370">
        <f>G369</f>
        <v/>
      </c>
      <c r="D370">
        <f>$B$10</f>
        <v/>
      </c>
      <c r="E370">
        <f>C370*$B$8</f>
        <v/>
      </c>
      <c r="F370">
        <f>D370-E370</f>
        <v/>
      </c>
      <c r="G370">
        <f>C370-F370</f>
        <v/>
      </c>
    </row>
    <row r="371">
      <c r="B371" t="n">
        <v>355</v>
      </c>
      <c r="C371">
        <f>G370</f>
        <v/>
      </c>
      <c r="D371">
        <f>$B$10</f>
        <v/>
      </c>
      <c r="E371">
        <f>C371*$B$8</f>
        <v/>
      </c>
      <c r="F371">
        <f>D371-E371</f>
        <v/>
      </c>
      <c r="G371">
        <f>C371-F371</f>
        <v/>
      </c>
    </row>
    <row r="372">
      <c r="B372" t="n">
        <v>356</v>
      </c>
      <c r="C372">
        <f>G371</f>
        <v/>
      </c>
      <c r="D372">
        <f>$B$10</f>
        <v/>
      </c>
      <c r="E372">
        <f>C372*$B$8</f>
        <v/>
      </c>
      <c r="F372">
        <f>D372-E372</f>
        <v/>
      </c>
      <c r="G372">
        <f>C372-F372</f>
        <v/>
      </c>
    </row>
    <row r="373">
      <c r="B373" t="n">
        <v>357</v>
      </c>
      <c r="C373">
        <f>G372</f>
        <v/>
      </c>
      <c r="D373">
        <f>$B$10</f>
        <v/>
      </c>
      <c r="E373">
        <f>C373*$B$8</f>
        <v/>
      </c>
      <c r="F373">
        <f>D373-E373</f>
        <v/>
      </c>
      <c r="G373">
        <f>C373-F373</f>
        <v/>
      </c>
    </row>
    <row r="374">
      <c r="B374" t="n">
        <v>358</v>
      </c>
      <c r="C374">
        <f>G373</f>
        <v/>
      </c>
      <c r="D374">
        <f>$B$10</f>
        <v/>
      </c>
      <c r="E374">
        <f>C374*$B$8</f>
        <v/>
      </c>
      <c r="F374">
        <f>D374-E374</f>
        <v/>
      </c>
      <c r="G374">
        <f>C374-F374</f>
        <v/>
      </c>
    </row>
    <row r="375">
      <c r="B375" t="n">
        <v>359</v>
      </c>
      <c r="C375">
        <f>G374</f>
        <v/>
      </c>
      <c r="D375">
        <f>$B$10</f>
        <v/>
      </c>
      <c r="E375">
        <f>C375*$B$8</f>
        <v/>
      </c>
      <c r="F375">
        <f>D375-E375</f>
        <v/>
      </c>
      <c r="G375">
        <f>C375-F375</f>
        <v/>
      </c>
    </row>
    <row r="376">
      <c r="B376" t="n">
        <v>360</v>
      </c>
      <c r="C376">
        <f>G375</f>
        <v/>
      </c>
      <c r="D376">
        <f>$B$10</f>
        <v/>
      </c>
      <c r="E376">
        <f>C376*$B$8</f>
        <v/>
      </c>
      <c r="F376">
        <f>D376-E376</f>
        <v/>
      </c>
      <c r="G376">
        <f>C376-F376</f>
        <v/>
      </c>
    </row>
    <row r="378">
      <c r="A378" t="inlineStr">
        <is>
          <t>Sum of principal (should equal loan)</t>
        </is>
      </c>
      <c r="B378">
        <f>SUM(F17:F376)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</cols>
  <sheetData>
    <row r="1">
      <c r="A1" s="1" t="inlineStr">
        <is>
          <t>Loan sizing: LTV / DSCR / debt yield — Ch. 10 | sdesk.cre.max_loan</t>
        </is>
      </c>
    </row>
    <row r="3">
      <c r="A3" t="inlineStr">
        <is>
          <t>NOI ($)</t>
        </is>
      </c>
      <c r="B3" s="2" t="n">
        <v>1000000</v>
      </c>
    </row>
    <row r="4">
      <c r="A4" t="inlineStr">
        <is>
          <t>Value ($)</t>
        </is>
      </c>
      <c r="B4" s="2" t="n">
        <v>16000000</v>
      </c>
    </row>
    <row r="5">
      <c r="A5" t="inlineStr">
        <is>
          <t>Rate</t>
        </is>
      </c>
      <c r="B5" s="2" t="n">
        <v>0.07000000000000001</v>
      </c>
    </row>
    <row r="6">
      <c r="A6" t="inlineStr">
        <is>
          <t>Amortization (years)</t>
        </is>
      </c>
      <c r="B6" s="2" t="n">
        <v>30</v>
      </c>
    </row>
    <row r="7">
      <c r="A7" t="inlineStr">
        <is>
          <t>Max LTV</t>
        </is>
      </c>
      <c r="B7" s="2" t="n">
        <v>0.65</v>
      </c>
    </row>
    <row r="8">
      <c r="A8" t="inlineStr">
        <is>
          <t>Min DSCR</t>
        </is>
      </c>
      <c r="B8" s="2" t="n">
        <v>1.25</v>
      </c>
    </row>
    <row r="9">
      <c r="A9" t="inlineStr">
        <is>
          <t>Min debt yield</t>
        </is>
      </c>
      <c r="B9" s="2" t="n">
        <v>0.09</v>
      </c>
    </row>
    <row r="11">
      <c r="A11" t="inlineStr">
        <is>
          <t>Loan constant</t>
        </is>
      </c>
      <c r="B11">
        <f>PMT(B5/12,B6*12,-1)*12</f>
        <v/>
      </c>
    </row>
    <row r="12">
      <c r="A12" t="inlineStr">
        <is>
          <t>Max loan — LTV</t>
        </is>
      </c>
      <c r="B12">
        <f>B4*B7</f>
        <v/>
      </c>
    </row>
    <row r="13">
      <c r="A13" t="inlineStr">
        <is>
          <t>Max loan — DSCR</t>
        </is>
      </c>
      <c r="B13">
        <f>B3/B8/B11</f>
        <v/>
      </c>
    </row>
    <row r="14">
      <c r="A14" t="inlineStr">
        <is>
          <t>Max loan — debt yield</t>
        </is>
      </c>
      <c r="B14">
        <f>B3/B9</f>
        <v/>
      </c>
    </row>
    <row r="15">
      <c r="A15" t="inlineStr">
        <is>
          <t>Max loan (binding)</t>
        </is>
      </c>
      <c r="B15">
        <f>MIN(B12:B14)</f>
        <v/>
      </c>
    </row>
    <row r="16">
      <c r="A16" t="inlineStr">
        <is>
          <t>Binding constraint</t>
        </is>
      </c>
      <c r="B16">
        <f>INDEX({"LTV","DSCR","Debt yield"},MATCH(B15,B12:B14,0))</f>
        <v/>
      </c>
    </row>
    <row r="17">
      <c r="A17" t="inlineStr">
        <is>
          <t>Resulting DSCR</t>
        </is>
      </c>
      <c r="B17">
        <f>B3/(B15*B11)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</cols>
  <sheetData>
    <row r="1">
      <c r="A1" s="1" t="inlineStr">
        <is>
          <t>Direct cap with property-tax reassessment — Ch. 9, Case A | sdesk.cre.loaded_cap_value</t>
        </is>
      </c>
    </row>
    <row r="3">
      <c r="A3" t="inlineStr">
        <is>
          <t>NOI before property tax ($)</t>
        </is>
      </c>
      <c r="B3" s="2" t="n">
        <v>607927.24</v>
      </c>
      <c r="C3" t="inlineStr">
        <is>
          <t>Case A normalized</t>
        </is>
      </c>
    </row>
    <row r="4">
      <c r="A4" t="inlineStr">
        <is>
          <t>Market cap rate</t>
        </is>
      </c>
      <c r="B4" s="2" t="n">
        <v>0.095</v>
      </c>
      <c r="C4" t="inlineStr">
        <is>
          <t>on NOI after reserve and reassessed tax</t>
        </is>
      </c>
    </row>
    <row r="5">
      <c r="A5" t="inlineStr">
        <is>
          <t>Tax rate</t>
        </is>
      </c>
      <c r="B5" s="2" t="n">
        <v>0.023</v>
      </c>
    </row>
    <row r="6">
      <c r="A6" t="inlineStr">
        <is>
          <t>Assessment ratio (assessed/price)</t>
        </is>
      </c>
      <c r="B6" s="2" t="n">
        <v>0.85</v>
      </c>
    </row>
    <row r="7">
      <c r="A7" t="inlineStr">
        <is>
          <t>Seller's current tax bill ($)</t>
        </is>
      </c>
      <c r="B7" s="2" t="n">
        <v>78200</v>
      </c>
    </row>
    <row r="9">
      <c r="A9" t="inlineStr">
        <is>
          <t>Effective tax on price t</t>
        </is>
      </c>
      <c r="B9">
        <f>B5*B6</f>
        <v/>
      </c>
    </row>
    <row r="10">
      <c r="A10" t="inlineStr">
        <is>
          <t>Loaded cap rate c + t</t>
        </is>
      </c>
      <c r="B10">
        <f>B4+B9</f>
        <v/>
      </c>
    </row>
    <row r="11">
      <c r="A11" t="inlineStr">
        <is>
          <t>Value V = N/(c+t)</t>
        </is>
      </c>
      <c r="B11">
        <f>B3/B10</f>
        <v/>
      </c>
    </row>
    <row r="12">
      <c r="A12" t="inlineStr">
        <is>
          <t>Reassessed tax</t>
        </is>
      </c>
      <c r="B12">
        <f>B9*B11</f>
        <v/>
      </c>
    </row>
    <row r="13">
      <c r="A13" t="inlineStr">
        <is>
          <t>NOI after tax</t>
        </is>
      </c>
      <c r="B13">
        <f>B3-B12</f>
        <v/>
      </c>
    </row>
    <row r="14">
      <c r="A14" t="inlineStr">
        <is>
          <t>Check: NOI after tax / V</t>
        </is>
      </c>
      <c r="B14">
        <f>B13/B11</f>
        <v/>
      </c>
    </row>
    <row r="15">
      <c r="A15" t="inlineStr">
        <is>
          <t>Naive value (seller's tax bill)</t>
        </is>
      </c>
      <c r="B15">
        <f>(B3-B7)/B4</f>
        <v/>
      </c>
    </row>
    <row r="16">
      <c r="A16" t="inlineStr">
        <is>
          <t>Overstatement</t>
        </is>
      </c>
      <c r="B16">
        <f>B15-B11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</cols>
  <sheetData>
    <row r="1">
      <c r="A1" s="1" t="inlineStr">
        <is>
          <t>Hotel room revenue and occupancy sensitivity — Ch. 11 | sdesk.hotel</t>
        </is>
      </c>
    </row>
    <row r="3">
      <c r="A3" t="inlineStr">
        <is>
          <t>Rooms</t>
        </is>
      </c>
      <c r="B3" s="2" t="n">
        <v>120</v>
      </c>
    </row>
    <row r="4">
      <c r="A4" t="inlineStr">
        <is>
          <t>Occupancy</t>
        </is>
      </c>
      <c r="B4" s="2" t="n">
        <v>0.72</v>
      </c>
    </row>
    <row r="5">
      <c r="A5" t="inlineStr">
        <is>
          <t>ADR ($)</t>
        </is>
      </c>
      <c r="B5" s="2" t="n">
        <v>125</v>
      </c>
    </row>
    <row r="6">
      <c r="A6" t="inlineStr">
        <is>
          <t>Days</t>
        </is>
      </c>
      <c r="B6" s="2" t="n">
        <v>365</v>
      </c>
    </row>
    <row r="8">
      <c r="A8" t="inlineStr">
        <is>
          <t>Available room-nights</t>
        </is>
      </c>
      <c r="B8">
        <f>B3*B6</f>
        <v/>
      </c>
    </row>
    <row r="9">
      <c r="A9" t="inlineStr">
        <is>
          <t>Rooms sold</t>
        </is>
      </c>
      <c r="B9">
        <f>B8*B4</f>
        <v/>
      </c>
    </row>
    <row r="10">
      <c r="A10" t="inlineStr">
        <is>
          <t>Room revenue</t>
        </is>
      </c>
      <c r="B10">
        <f>B9*B5</f>
        <v/>
      </c>
    </row>
    <row r="11">
      <c r="A11" t="inlineStr">
        <is>
          <t>RevPAR</t>
        </is>
      </c>
      <c r="B11">
        <f>B10/B8</f>
        <v/>
      </c>
    </row>
    <row r="12">
      <c r="A12" t="inlineStr">
        <is>
          <t>Revenue lost from -3 occupancy points</t>
        </is>
      </c>
      <c r="B12">
        <f>0.03*B8*B5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</cols>
  <sheetData>
    <row r="1">
      <c r="A1" s="1" t="inlineStr">
        <is>
          <t>Bond price, duration, DV01 — Ch. 6 | sdesk.fixed_income</t>
        </is>
      </c>
    </row>
    <row r="2">
      <c r="E2" s="3" t="inlineStr">
        <is>
          <t>Period k</t>
        </is>
      </c>
      <c r="F2" s="3" t="inlineStr">
        <is>
          <t>t (years)</t>
        </is>
      </c>
      <c r="G2" s="3" t="inlineStr">
        <is>
          <t>Cash flow</t>
        </is>
      </c>
      <c r="H2" s="3" t="inlineStr">
        <is>
          <t>PV</t>
        </is>
      </c>
      <c r="I2" s="3" t="inlineStr">
        <is>
          <t>t x PV</t>
        </is>
      </c>
    </row>
    <row r="3">
      <c r="A3" t="inlineStr">
        <is>
          <t>Settlement</t>
        </is>
      </c>
      <c r="B3" s="2" t="inlineStr">
        <is>
          <t>2026-01-15</t>
        </is>
      </c>
      <c r="C3" t="inlineStr">
        <is>
          <t>use coupon-date settlement to avoid accrued interest</t>
        </is>
      </c>
      <c r="E3" t="n">
        <v>1</v>
      </c>
      <c r="F3">
        <f>E3/$B$7</f>
        <v/>
      </c>
      <c r="G3">
        <f>$B$5/$B$7*100+IF(E3=20,100,0)</f>
        <v/>
      </c>
      <c r="H3">
        <f>G3/(1+$B$6/$B$7)^E3</f>
        <v/>
      </c>
      <c r="I3">
        <f>F3*H3</f>
        <v/>
      </c>
    </row>
    <row r="4">
      <c r="A4" t="inlineStr">
        <is>
          <t>Maturity</t>
        </is>
      </c>
      <c r="B4" s="2" t="inlineStr">
        <is>
          <t>2036-01-15</t>
        </is>
      </c>
      <c r="E4" t="n">
        <v>2</v>
      </c>
      <c r="F4">
        <f>E4/$B$7</f>
        <v/>
      </c>
      <c r="G4">
        <f>$B$5/$B$7*100+IF(E4=20,100,0)</f>
        <v/>
      </c>
      <c r="H4">
        <f>G4/(1+$B$6/$B$7)^E4</f>
        <v/>
      </c>
      <c r="I4">
        <f>F4*H4</f>
        <v/>
      </c>
    </row>
    <row r="5">
      <c r="A5" t="inlineStr">
        <is>
          <t>Coupon</t>
        </is>
      </c>
      <c r="B5" s="2" t="n">
        <v>0.04</v>
      </c>
      <c r="E5" t="n">
        <v>3</v>
      </c>
      <c r="F5">
        <f>E5/$B$7</f>
        <v/>
      </c>
      <c r="G5">
        <f>$B$5/$B$7*100+IF(E5=20,100,0)</f>
        <v/>
      </c>
      <c r="H5">
        <f>G5/(1+$B$6/$B$7)^E5</f>
        <v/>
      </c>
      <c r="I5">
        <f>F5*H5</f>
        <v/>
      </c>
    </row>
    <row r="6">
      <c r="A6" t="inlineStr">
        <is>
          <t>Yield</t>
        </is>
      </c>
      <c r="B6" s="2" t="n">
        <v>0.045</v>
      </c>
      <c r="E6" t="n">
        <v>4</v>
      </c>
      <c r="F6">
        <f>E6/$B$7</f>
        <v/>
      </c>
      <c r="G6">
        <f>$B$5/$B$7*100+IF(E6=20,100,0)</f>
        <v/>
      </c>
      <c r="H6">
        <f>G6/(1+$B$6/$B$7)^E6</f>
        <v/>
      </c>
      <c r="I6">
        <f>F6*H6</f>
        <v/>
      </c>
    </row>
    <row r="7">
      <c r="A7" t="inlineStr">
        <is>
          <t>Frequency</t>
        </is>
      </c>
      <c r="B7" s="2" t="n">
        <v>2</v>
      </c>
      <c r="E7" t="n">
        <v>5</v>
      </c>
      <c r="F7">
        <f>E7/$B$7</f>
        <v/>
      </c>
      <c r="G7">
        <f>$B$5/$B$7*100+IF(E7=20,100,0)</f>
        <v/>
      </c>
      <c r="H7">
        <f>G7/(1+$B$6/$B$7)^E7</f>
        <v/>
      </c>
      <c r="I7">
        <f>F7*H7</f>
        <v/>
      </c>
    </row>
    <row r="8">
      <c r="E8" t="n">
        <v>6</v>
      </c>
      <c r="F8">
        <f>E8/$B$7</f>
        <v/>
      </c>
      <c r="G8">
        <f>$B$5/$B$7*100+IF(E8=20,100,0)</f>
        <v/>
      </c>
      <c r="H8">
        <f>G8/(1+$B$6/$B$7)^E8</f>
        <v/>
      </c>
      <c r="I8">
        <f>F8*H8</f>
        <v/>
      </c>
    </row>
    <row r="9">
      <c r="A9" t="inlineStr">
        <is>
          <t>Price per 100</t>
        </is>
      </c>
      <c r="B9">
        <f>PRICE(DATEVALUE(B3),DATEVALUE(B4),B5,B6,100,B7,1)</f>
        <v/>
      </c>
      <c r="E9" t="n">
        <v>7</v>
      </c>
      <c r="F9">
        <f>E9/$B$7</f>
        <v/>
      </c>
      <c r="G9">
        <f>$B$5/$B$7*100+IF(E9=20,100,0)</f>
        <v/>
      </c>
      <c r="H9">
        <f>G9/(1+$B$6/$B$7)^E9</f>
        <v/>
      </c>
      <c r="I9">
        <f>F9*H9</f>
        <v/>
      </c>
    </row>
    <row r="10">
      <c r="A10" t="inlineStr">
        <is>
          <t>Macaulay duration</t>
        </is>
      </c>
      <c r="B10">
        <f>DURATION(DATEVALUE(B3),DATEVALUE(B4),B5,B6,B7,1)</f>
        <v/>
      </c>
      <c r="C10" t="inlineStr">
        <is>
          <t>Built-in DURATION; LibreOffice's implementation can differ slightly from Excel. B17-B18 compute duration explicitly from the cash flows.</t>
        </is>
      </c>
      <c r="E10" t="n">
        <v>8</v>
      </c>
      <c r="F10">
        <f>E10/$B$7</f>
        <v/>
      </c>
      <c r="G10">
        <f>$B$5/$B$7*100+IF(E10=20,100,0)</f>
        <v/>
      </c>
      <c r="H10">
        <f>G10/(1+$B$6/$B$7)^E10</f>
        <v/>
      </c>
      <c r="I10">
        <f>F10*H10</f>
        <v/>
      </c>
    </row>
    <row r="11">
      <c r="A11" t="inlineStr">
        <is>
          <t>Modified duration</t>
        </is>
      </c>
      <c r="B11">
        <f>MDURATION(DATEVALUE(B3),DATEVALUE(B4),B5,B6,B7,1)</f>
        <v/>
      </c>
      <c r="E11" t="n">
        <v>9</v>
      </c>
      <c r="F11">
        <f>E11/$B$7</f>
        <v/>
      </c>
      <c r="G11">
        <f>$B$5/$B$7*100+IF(E11=20,100,0)</f>
        <v/>
      </c>
      <c r="H11">
        <f>G11/(1+$B$6/$B$7)^E11</f>
        <v/>
      </c>
      <c r="I11">
        <f>F11*H11</f>
        <v/>
      </c>
    </row>
    <row r="12">
      <c r="A12" t="inlineStr">
        <is>
          <t>Price at yield + 1bp</t>
        </is>
      </c>
      <c r="B12">
        <f>PRICE(DATEVALUE(B3),DATEVALUE(B4),B5,B6+0.0001,100,B7,1)</f>
        <v/>
      </c>
      <c r="E12" t="n">
        <v>10</v>
      </c>
      <c r="F12">
        <f>E12/$B$7</f>
        <v/>
      </c>
      <c r="G12">
        <f>$B$5/$B$7*100+IF(E12=20,100,0)</f>
        <v/>
      </c>
      <c r="H12">
        <f>G12/(1+$B$6/$B$7)^E12</f>
        <v/>
      </c>
      <c r="I12">
        <f>F12*H12</f>
        <v/>
      </c>
    </row>
    <row r="13">
      <c r="A13" t="inlineStr">
        <is>
          <t>Price at yield - 1bp</t>
        </is>
      </c>
      <c r="B13">
        <f>PRICE(DATEVALUE(B3),DATEVALUE(B4),B5,B6-0.0001,100,B7,1)</f>
        <v/>
      </c>
      <c r="E13" t="n">
        <v>11</v>
      </c>
      <c r="F13">
        <f>E13/$B$7</f>
        <v/>
      </c>
      <c r="G13">
        <f>$B$5/$B$7*100+IF(E13=20,100,0)</f>
        <v/>
      </c>
      <c r="H13">
        <f>G13/(1+$B$6/$B$7)^E13</f>
        <v/>
      </c>
      <c r="I13">
        <f>F13*H13</f>
        <v/>
      </c>
    </row>
    <row r="14">
      <c r="A14" t="inlineStr">
        <is>
          <t>DV01 per 100 (central difference)</t>
        </is>
      </c>
      <c r="B14">
        <f>(B13-B12)/2</f>
        <v/>
      </c>
      <c r="E14" t="n">
        <v>12</v>
      </c>
      <c r="F14">
        <f>E14/$B$7</f>
        <v/>
      </c>
      <c r="G14">
        <f>$B$5/$B$7*100+IF(E14=20,100,0)</f>
        <v/>
      </c>
      <c r="H14">
        <f>G14/(1+$B$6/$B$7)^E14</f>
        <v/>
      </c>
      <c r="I14">
        <f>F14*H14</f>
        <v/>
      </c>
    </row>
    <row r="15">
      <c r="A15" t="inlineStr">
        <is>
          <t>Price via PV (cross-check)</t>
        </is>
      </c>
      <c r="B15">
        <f>PV(B6/B7,10*B7,-B5/B7*100,-100)</f>
        <v/>
      </c>
      <c r="E15" t="n">
        <v>13</v>
      </c>
      <c r="F15">
        <f>E15/$B$7</f>
        <v/>
      </c>
      <c r="G15">
        <f>$B$5/$B$7*100+IF(E15=20,100,0)</f>
        <v/>
      </c>
      <c r="H15">
        <f>G15/(1+$B$6/$B$7)^E15</f>
        <v/>
      </c>
      <c r="I15">
        <f>F15*H15</f>
        <v/>
      </c>
    </row>
    <row r="16">
      <c r="A16" t="inlineStr">
        <is>
          <t>Price (sum of PVs)</t>
        </is>
      </c>
      <c r="B16">
        <f>SUM(H3:H22)</f>
        <v/>
      </c>
      <c r="E16" t="n">
        <v>14</v>
      </c>
      <c r="F16">
        <f>E16/$B$7</f>
        <v/>
      </c>
      <c r="G16">
        <f>$B$5/$B$7*100+IF(E16=20,100,0)</f>
        <v/>
      </c>
      <c r="H16">
        <f>G16/(1+$B$6/$B$7)^E16</f>
        <v/>
      </c>
      <c r="I16">
        <f>F16*H16</f>
        <v/>
      </c>
    </row>
    <row r="17">
      <c r="A17" t="inlineStr">
        <is>
          <t>Macaulay duration (explicit)</t>
        </is>
      </c>
      <c r="B17">
        <f>SUM(I3:I22)/B16</f>
        <v/>
      </c>
      <c r="E17" t="n">
        <v>15</v>
      </c>
      <c r="F17">
        <f>E17/$B$7</f>
        <v/>
      </c>
      <c r="G17">
        <f>$B$5/$B$7*100+IF(E17=20,100,0)</f>
        <v/>
      </c>
      <c r="H17">
        <f>G17/(1+$B$6/$B$7)^E17</f>
        <v/>
      </c>
      <c r="I17">
        <f>F17*H17</f>
        <v/>
      </c>
    </row>
    <row r="18">
      <c r="A18" t="inlineStr">
        <is>
          <t>Modified duration (explicit)</t>
        </is>
      </c>
      <c r="B18">
        <f>B17/(1+B6/B7)</f>
        <v/>
      </c>
      <c r="E18" t="n">
        <v>16</v>
      </c>
      <c r="F18">
        <f>E18/$B$7</f>
        <v/>
      </c>
      <c r="G18">
        <f>$B$5/$B$7*100+IF(E18=20,100,0)</f>
        <v/>
      </c>
      <c r="H18">
        <f>G18/(1+$B$6/$B$7)^E18</f>
        <v/>
      </c>
      <c r="I18">
        <f>F18*H18</f>
        <v/>
      </c>
    </row>
    <row r="19">
      <c r="E19" t="n">
        <v>17</v>
      </c>
      <c r="F19">
        <f>E19/$B$7</f>
        <v/>
      </c>
      <c r="G19">
        <f>$B$5/$B$7*100+IF(E19=20,100,0)</f>
        <v/>
      </c>
      <c r="H19">
        <f>G19/(1+$B$6/$B$7)^E19</f>
        <v/>
      </c>
      <c r="I19">
        <f>F19*H19</f>
        <v/>
      </c>
    </row>
    <row r="20">
      <c r="E20" t="n">
        <v>18</v>
      </c>
      <c r="F20">
        <f>E20/$B$7</f>
        <v/>
      </c>
      <c r="G20">
        <f>$B$5/$B$7*100+IF(E20=20,100,0)</f>
        <v/>
      </c>
      <c r="H20">
        <f>G20/(1+$B$6/$B$7)^E20</f>
        <v/>
      </c>
      <c r="I20">
        <f>F20*H20</f>
        <v/>
      </c>
    </row>
    <row r="21">
      <c r="E21" t="n">
        <v>19</v>
      </c>
      <c r="F21">
        <f>E21/$B$7</f>
        <v/>
      </c>
      <c r="G21">
        <f>$B$5/$B$7*100+IF(E21=20,100,0)</f>
        <v/>
      </c>
      <c r="H21">
        <f>G21/(1+$B$6/$B$7)^E21</f>
        <v/>
      </c>
      <c r="I21">
        <f>F21*H21</f>
        <v/>
      </c>
    </row>
    <row r="22">
      <c r="E22" t="n">
        <v>20</v>
      </c>
      <c r="F22">
        <f>E22/$B$7</f>
        <v/>
      </c>
      <c r="G22">
        <f>$B$5/$B$7*100+IF(E22=20,100,0)</f>
        <v/>
      </c>
      <c r="H22">
        <f>G22/(1+$B$6/$B$7)^E22</f>
        <v/>
      </c>
      <c r="I22">
        <f>F22*H22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Expected vs realized return — Example 1.1 | tests/test_ch01_examples.py</t>
        </is>
      </c>
    </row>
    <row r="3">
      <c r="A3" t="inlineStr">
        <is>
          <t>Price ($)</t>
        </is>
      </c>
      <c r="B3" s="2" t="n">
        <v>7800000</v>
      </c>
    </row>
    <row r="4">
      <c r="A4" t="inlineStr">
        <is>
          <t>Buyer closing cost %</t>
        </is>
      </c>
      <c r="B4" s="2" t="n">
        <v>0.015</v>
      </c>
    </row>
    <row r="5">
      <c r="A5" t="inlineStr">
        <is>
          <t>Selling cost %</t>
        </is>
      </c>
      <c r="B5" s="2" t="n">
        <v>0.03</v>
      </c>
    </row>
    <row r="6">
      <c r="A6" t="inlineStr">
        <is>
          <t>All-in basis</t>
        </is>
      </c>
      <c r="B6">
        <f>B3*(1+B4)</f>
        <v/>
      </c>
    </row>
    <row r="8">
      <c r="A8" s="3" t="inlineStr">
        <is>
          <t>Scenario</t>
        </is>
      </c>
      <c r="B8" s="3" t="inlineStr">
        <is>
          <t>Prob</t>
        </is>
      </c>
      <c r="C8" s="3" t="inlineStr">
        <is>
          <t>NOI Y1</t>
        </is>
      </c>
      <c r="D8" s="3" t="inlineStr">
        <is>
          <t>NOI Y2</t>
        </is>
      </c>
      <c r="E8" s="3" t="inlineStr">
        <is>
          <t>Gross sale</t>
        </is>
      </c>
      <c r="F8" s="3" t="inlineStr">
        <is>
          <t>Net sale</t>
        </is>
      </c>
      <c r="G8" s="3" t="inlineStr">
        <is>
          <t>CF0</t>
        </is>
      </c>
      <c r="H8" s="3" t="inlineStr">
        <is>
          <t>CF1</t>
        </is>
      </c>
      <c r="I8" s="3" t="inlineStr">
        <is>
          <t>CF2</t>
        </is>
      </c>
      <c r="J8" s="3" t="inlineStr">
        <is>
          <t>Profit</t>
        </is>
      </c>
      <c r="K8" s="3" t="inlineStr">
        <is>
          <t>IRR</t>
        </is>
      </c>
    </row>
    <row r="9">
      <c r="A9" t="inlineStr">
        <is>
          <t>Good</t>
        </is>
      </c>
      <c r="B9" s="2" t="n">
        <v>0.55</v>
      </c>
      <c r="C9" s="2" t="n">
        <v>780000</v>
      </c>
      <c r="D9" s="2" t="n">
        <v>850000</v>
      </c>
      <c r="E9" s="2" t="n">
        <v>9400000</v>
      </c>
      <c r="F9">
        <f>E9*(1-$B$5)</f>
        <v/>
      </c>
      <c r="G9">
        <f>-$B$6</f>
        <v/>
      </c>
      <c r="H9">
        <f>C9</f>
        <v/>
      </c>
      <c r="I9">
        <f>D9+F9</f>
        <v/>
      </c>
      <c r="J9">
        <f>SUM(G9:I9)</f>
        <v/>
      </c>
      <c r="K9">
        <f>IRR(G9:I9)</f>
        <v/>
      </c>
    </row>
    <row r="10">
      <c r="A10" t="inlineStr">
        <is>
          <t>Base</t>
        </is>
      </c>
      <c r="B10" s="2" t="n">
        <v>0.3</v>
      </c>
      <c r="C10" s="2" t="n">
        <v>760000</v>
      </c>
      <c r="D10" s="2" t="n">
        <v>800000</v>
      </c>
      <c r="E10" s="2" t="n">
        <v>8600000</v>
      </c>
      <c r="F10">
        <f>E10*(1-$B$5)</f>
        <v/>
      </c>
      <c r="G10">
        <f>-$B$6</f>
        <v/>
      </c>
      <c r="H10">
        <f>C10</f>
        <v/>
      </c>
      <c r="I10">
        <f>D10+F10</f>
        <v/>
      </c>
      <c r="J10">
        <f>SUM(G10:I10)</f>
        <v/>
      </c>
      <c r="K10">
        <f>IRR(G10:I10)</f>
        <v/>
      </c>
    </row>
    <row r="11">
      <c r="A11" t="inlineStr">
        <is>
          <t>Bad</t>
        </is>
      </c>
      <c r="B11" s="2" t="n">
        <v>0.15</v>
      </c>
      <c r="C11" s="2" t="n">
        <v>650000</v>
      </c>
      <c r="D11" s="2" t="n">
        <v>560000</v>
      </c>
      <c r="E11" s="2" t="n">
        <v>6400000</v>
      </c>
      <c r="F11">
        <f>E11*(1-$B$5)</f>
        <v/>
      </c>
      <c r="G11">
        <f>-$B$6</f>
        <v/>
      </c>
      <c r="H11">
        <f>C11</f>
        <v/>
      </c>
      <c r="I11">
        <f>D11+F11</f>
        <v/>
      </c>
      <c r="J11">
        <f>SUM(G11:I11)</f>
        <v/>
      </c>
      <c r="K11">
        <f>IRR(G11:I11)</f>
        <v/>
      </c>
    </row>
    <row r="13">
      <c r="A13" t="inlineStr">
        <is>
          <t>Expected profit</t>
        </is>
      </c>
      <c r="B13">
        <f>SUMPRODUCT(B9:B11,J9:J11)</f>
        <v/>
      </c>
    </row>
    <row r="14">
      <c r="A14" t="inlineStr">
        <is>
          <t>Std. deviation of profit</t>
        </is>
      </c>
      <c r="B14">
        <f>SQRT(SUMPRODUCT(B9:B11,(J9:J11-B13)^2))</f>
        <v/>
      </c>
    </row>
    <row r="15">
      <c r="A15" t="inlineStr">
        <is>
          <t>Expected IRR</t>
        </is>
      </c>
      <c r="B15">
        <f>SUMPRODUCT(B9:B11,K9:K11)</f>
        <v/>
      </c>
    </row>
    <row r="16">
      <c r="A16" t="inlineStr">
        <is>
          <t>E[CF1]</t>
        </is>
      </c>
      <c r="B16">
        <f>SUMPRODUCT(B9:B11,H9:H11)</f>
        <v/>
      </c>
    </row>
    <row r="17">
      <c r="A17" t="inlineStr">
        <is>
          <t>E[CF2]</t>
        </is>
      </c>
      <c r="B17">
        <f>SUMPRODUCT(B9:B11,I9:I11)</f>
        <v/>
      </c>
    </row>
    <row r="18">
      <c r="A18" t="inlineStr">
        <is>
          <t>CF0</t>
        </is>
      </c>
      <c r="B18">
        <f>-B6</f>
        <v/>
      </c>
      <c r="C18">
        <f>B18</f>
        <v/>
      </c>
      <c r="D18">
        <f>B16</f>
        <v/>
      </c>
      <c r="E18">
        <f>B17</f>
        <v/>
      </c>
    </row>
    <row r="19">
      <c r="A19" t="inlineStr">
        <is>
          <t>IRR of expected flows (C18:E18)</t>
        </is>
      </c>
      <c r="B19">
        <f>IRR(C18:E18)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2026-10-19T21:11:18Z</dcterms:created>
  <dcterms:modified xmlns:dcterms="http://purl.org/dc/terms/" xmlns:xsi="http://www.w3.org/2001/XMLSchema-instance" xsi:type="dcterms:W3CDTF">2026-10-19T21:11:18Z</dcterms:modified>
</cp:coreProperties>
</file>